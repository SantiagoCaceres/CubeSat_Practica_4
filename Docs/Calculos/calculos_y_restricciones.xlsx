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74e0cec6b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os" sheetId="1" r:id="R3e4d54e41ae942ad"/>
    <x:sheet xmlns:r="http://schemas.openxmlformats.org/officeDocument/2006/relationships" name="Entradas" sheetId="2" r:id="R01d08934f9c34de8"/>
    <x:sheet xmlns:r="http://schemas.openxmlformats.org/officeDocument/2006/relationships" name="Restricciones" sheetId="3" r:id="Rb52e9c5e6b404f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"/>
    <x:numFmt numFmtId="201" formatCode="0.0%"/>
    <x:numFmt numFmtId="202" formatCode="#,##0.000"/>
    <x:numFmt numFmtId="203" formatCode="#,##0"/>
    <x:numFmt numFmtId="204" formatCode="0.###"/>
    <x:numFmt numFmtId="205" formatCode="0%"/>
    <x:numFmt numFmtId="206" formatCode="0.0000"/>
    <x:numFmt numFmtId="207" formatCode="0.00"/>
  </x:numFmts>
  <x:fonts count="4">
    <x:font>
      <x:sz val="11"/>
      <x:name val="Carlito"/>
    </x:font>
    <x:font>
      <x:sz val="11"/>
      <x:color rgb="FF243447"/>
      <x:name val="Arial"/>
    </x:font>
    <x:font>
      <x:b/>
      <x:sz val="16"/>
      <x:color rgb="FF18354A"/>
      <x:name val="Arial"/>
    </x:font>
    <x:font>
      <x:b/>
      <x:sz val="11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8354A"/>
      </x:patternFill>
    </x:fill>
    <x:fill>
      <x:patternFill patternType="solid">
        <x:fgColor rgb="FFFFF2CC"/>
      </x:patternFill>
    </x:fill>
    <x:fill>
      <x:patternFill patternType="solid">
        <x:fgColor rgb="FF18354A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3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4" fontId="1" fillId="7" borderId="0" xfId="0" applyNumberFormat="1" applyFont="1" applyFill="1" applyBorder="1" applyAlignment="1">
      <x:alignment vertical="center" wrapText="1"/>
    </x:xf>
    <x:xf numFmtId="205" fontId="1" fillId="7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7" fontId="1" fillId="8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9f75a25fa4fa7" /><Relationship Type="http://schemas.openxmlformats.org/officeDocument/2006/relationships/theme" Target="/xl/theme/theme1.xml" Id="R57ed846102054761" /><Relationship Type="http://schemas.openxmlformats.org/officeDocument/2006/relationships/sharedStrings" Target="/xl/sharedStrings.xml" Id="R9be87cc43b654841" /><Relationship Type="http://schemas.openxmlformats.org/officeDocument/2006/relationships/worksheet" Target="/xl/worksheets/sheet1.xml" Id="R3e4d54e41ae942ad" /><Relationship Type="http://schemas.openxmlformats.org/officeDocument/2006/relationships/worksheet" Target="/xl/worksheets/sheet2.xml" Id="R01d08934f9c34de8" /><Relationship Type="http://schemas.openxmlformats.org/officeDocument/2006/relationships/worksheet" Target="/xl/worksheets/sheet3.xml" Id="Rb52e9c5e6b404f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54A"/>
  </x:sheetPr>
  <x:sheetViews>
    <x:sheetView showGridLines="0" workbookViewId="0"/>
  </x:sheetViews>
  <x:sheetFormatPr defaultRowHeight="15"/>
  <x:cols>
    <x:col min="1" max="1" width="43" hidden="0" customWidth="1"/>
    <x:col min="2" max="2" width="21" hidden="0" customWidth="1"/>
    <x:col min="3" max="3" width="18" hidden="0" customWidth="1"/>
    <x:col min="4" max="4" width="70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26" customHeight="1">
      <x:c r="A2" s="3" t="str">
        <x:v>Dimensionamiento de componentes</x:v>
      </x:c>
      <x:c r="B2" s="2"/>
      <x:c r="C2" s="2"/>
      <x:c r="D2" s="2"/>
      <x:c r="E2" s="2"/>
      <x:c r="F2" s="2"/>
    </x:row>
    <x:row r="3" ht="26" customHeight="1">
      <x:c r="A3" s="2" t="str">
        <x:v>Cámara, almacenamiento y computador. MB y GB decimales; supuestos en Entradas.</x:v>
      </x:c>
      <x:c r="B3" s="2"/>
      <x:c r="C3" s="2"/>
      <x:c r="D3" s="2"/>
      <x:c r="E3" s="2"/>
      <x:c r="F3" s="2"/>
    </x:row>
    <x:row r="4" ht="26" customHeight="1">
      <x:c r="A4" s="2"/>
      <x:c r="B4" s="2"/>
      <x:c r="C4" s="2"/>
      <x:c r="D4" s="2"/>
      <x:c r="E4" s="2"/>
      <x:c r="F4" s="2"/>
    </x:row>
    <x:row r="5" ht="30" customHeight="1">
      <x:c r="A5" s="5" t="str">
        <x:v>Resultado</x:v>
      </x:c>
      <x:c r="B5" s="5" t="str">
        <x:v>Valor</x:v>
      </x:c>
      <x:c r="C5" s="5" t="str">
        <x:v>Unidad</x:v>
      </x:c>
      <x:c r="D5" s="5" t="str">
        <x:v>Interpretación</x:v>
      </x:c>
      <x:c r="E5" s="2"/>
      <x:c r="F5" s="2"/>
    </x:row>
    <x:row r="6" ht="32" customHeight="1">
      <x:c r="A6" s="2" t="str">
        <x:v>Muestras físicas por cuadro</x:v>
      </x:c>
      <x:c r="B6" s="11" t="n">
        <x:f>'Entradas'!B6*'Entradas'!B7</x:f>
        <x:v>2228224</x:v>
      </x:c>
      <x:c r="C6" s="2" t="str">
        <x:v>muestras</x:v>
      </x:c>
      <x:c r="D6" s="6" t="str">
        <x:v>No multiplicar por el número de bandas.</x:v>
      </x:c>
      <x:c r="E6" s="2"/>
      <x:c r="F6" s="2"/>
    </x:row>
    <x:row r="7" ht="32" customHeight="1">
      <x:c r="A7" s="2" t="str">
        <x:v>Bytes por muestra</x:v>
      </x:c>
      <x:c r="B7" s="10" t="n">
        <x:f>'Entradas'!B9/8</x:f>
        <x:v>2</x:v>
      </x:c>
      <x:c r="C7" s="2" t="str">
        <x:v>bytes/muestra</x:v>
      </x:c>
      <x:c r="D7" s="6" t="str">
        <x:v>Contenedor de 16 bits para datos del sensor.</x:v>
      </x:c>
      <x:c r="E7" s="2"/>
      <x:c r="F7" s="2"/>
    </x:row>
    <x:row r="8" ht="32" customHeight="1">
      <x:c r="A8" s="2" t="str">
        <x:v>Volumen del cuadro</x:v>
      </x:c>
      <x:c r="B8" s="11" t="n">
        <x:f>B6*B7+'Entradas'!B13</x:f>
        <x:v>4456448</x:v>
      </x:c>
      <x:c r="C8" s="2" t="str">
        <x:v>bytes</x:v>
      </x:c>
      <x:c r="D8" s="6" t="str">
        <x:v>Incluye el relleno declarado en Entradas.</x:v>
      </x:c>
      <x:c r="E8" s="2"/>
      <x:c r="F8" s="2"/>
    </x:row>
    <x:row r="9" ht="32" customHeight="1">
      <x:c r="A9" s="2" t="str">
        <x:v>Volumen del cuadro en MB</x:v>
      </x:c>
      <x:c r="B9" s="10" t="n">
        <x:f>B8/1000000</x:f>
        <x:v>4.456448</x:v>
      </x:c>
      <x:c r="C9" s="2" t="str">
        <x:v>MB</x:v>
      </x:c>
      <x:c r="D9" s="6" t="str">
        <x:v>Un cuadro bruto completo.</x:v>
      </x:c>
      <x:c r="E9" s="2"/>
      <x:c r="F9" s="2"/>
    </x:row>
    <x:row r="10" ht="32" customHeight="1">
      <x:c r="A10" s="2" t="str">
        <x:v>Imágenes generadas al día</x:v>
      </x:c>
      <x:c r="B10" s="11" t="n">
        <x:f>B8*'Entradas'!B10*'Entradas'!B11</x:f>
        <x:v>44564480</x:v>
      </x:c>
      <x:c r="C10" s="2" t="str">
        <x:v>bytes/día</x:v>
      </x:c>
      <x:c r="D10" s="6" t="str">
        <x:v>Adquisiciones × cuadros por adquisición.</x:v>
      </x:c>
      <x:c r="E10" s="2"/>
      <x:c r="F10" s="2"/>
    </x:row>
    <x:row r="11" ht="32" customHeight="1">
      <x:c r="A11" s="2" t="str">
        <x:v>Imágenes generadas en MB</x:v>
      </x:c>
      <x:c r="B11" s="10" t="n">
        <x:f>B10/1000000</x:f>
        <x:v>44.56448</x:v>
      </x:c>
      <x:c r="C11" s="2" t="str">
        <x:v>MB/día</x:v>
      </x:c>
      <x:c r="D11" s="6" t="str">
        <x:v>Sin telemetría ni protocolo.</x:v>
      </x:c>
      <x:c r="E11" s="2"/>
      <x:c r="F11" s="2"/>
    </x:row>
    <x:row r="12" ht="32" customHeight="1">
      <x:c r="A12" s="2" t="str">
        <x:v>Tasa útil solo para imágenes</x:v>
      </x:c>
      <x:c r="B12" s="10" t="n">
        <x:f>IF('Entradas'!B12&gt;0,B10*8/'Entradas'!B12/1000,"Pendiente")</x:f>
        <x:v>594.1930666666666</x:v>
      </x:c>
      <x:c r="C12" s="2" t="str">
        <x:v>kbit/s</x:v>
      </x:c>
      <x:c r="D12" s="6" t="str">
        <x:v>Debe sostenerse durante el contacto.</x:v>
      </x:c>
      <x:c r="E12" s="2"/>
      <x:c r="F12" s="2"/>
    </x:row>
    <x:row r="13" ht="32" customHeight="1">
      <x:c r="A13" s="2" t="str">
        <x:v>Volumen total diario</x:v>
      </x:c>
      <x:c r="B13" s="11" t="str">
        <x:f>IF(ISNUMBER('Entradas'!B14),B10+'Entradas'!B14*1000000,"Pendiente")</x:f>
        <x:v>Pendiente</x:v>
      </x:c>
      <x:c r="C13" s="2" t="str">
        <x:v>bytes/día</x:v>
      </x:c>
      <x:c r="D13" s="6" t="str">
        <x:v>Requiere telemetría y eventos definidos.</x:v>
      </x:c>
      <x:c r="E13" s="2"/>
      <x:c r="F13" s="2"/>
    </x:row>
    <x:row r="14" ht="32" customHeight="1">
      <x:c r="A14" s="2" t="str">
        <x:v>Tasa física requerida</x:v>
      </x:c>
      <x:c r="B14" s="10" t="str">
        <x:f>IF(AND(ISNUMBER(B13),ISNUMBER('Entradas'!B15),'Entradas'!B15&gt;0,'Entradas'!B15&lt;=1,'Entradas'!B12&gt;0),B13*8/'Entradas'!B12/'Entradas'!B15/1000,"Pendiente")</x:f>
        <x:v>Pendiente</x:v>
      </x:c>
      <x:c r="C14" s="2" t="str">
        <x:v>kbit/s</x:v>
      </x:c>
      <x:c r="D14" s="6" t="str">
        <x:v>No confundir con la velocidad USB.</x:v>
      </x:c>
      <x:c r="E14" s="2"/>
      <x:c r="F14" s="2"/>
    </x:row>
    <x:row r="15" ht="32" customHeight="1">
      <x:c r="A15" s="2"/>
      <x:c r="B15" s="10"/>
      <x:c r="C15" s="2"/>
      <x:c r="D15" s="6"/>
      <x:c r="E15" s="2"/>
      <x:c r="F15" s="2"/>
    </x:row>
    <x:row r="16" ht="32" customHeight="1">
      <x:c r="A16" s="2"/>
      <x:c r="B16" s="10"/>
      <x:c r="C16" s="2"/>
      <x:c r="D16" s="6"/>
      <x:c r="E16" s="2"/>
      <x:c r="F16" s="2"/>
    </x:row>
    <x:row r="17" ht="32" customHeight="1">
      <x:c r="A17" s="2" t="str">
        <x:v>Corriente equivalente de cámara</x:v>
      </x:c>
      <x:c r="B17" s="10" t="n">
        <x:f>'Entradas'!B16/'Entradas'!B17</x:f>
        <x:v>0.32</x:v>
      </x:c>
      <x:c r="C17" s="2" t="str">
        <x:v>A</x:v>
      </x:c>
      <x:c r="D17" s="6" t="str">
        <x:v>No es una corriente máxima de diseño.</x:v>
      </x:c>
      <x:c r="E17" s="2"/>
      <x:c r="F17" s="2"/>
    </x:row>
    <x:row r="18" ht="32" customHeight="1">
      <x:c r="A18" s="2" t="str">
        <x:v>Energía diaria estimada de cámara</x:v>
      </x:c>
      <x:c r="B18" s="10" t="str">
        <x:f>IF(ISNUMBER('Entradas'!B18),'Entradas'!B16*'Entradas'!B18/3600,"Pendiente")</x:f>
        <x:v>Pendiente</x:v>
      </x:c>
      <x:c r="C18" s="2" t="str">
        <x:v>Wh/día</x:v>
      </x:c>
      <x:c r="D18" s="6" t="str">
        <x:v>Potencia constante supuesta; actualizar por modos.</x:v>
      </x:c>
      <x:c r="E18" s="2"/>
      <x:c r="F18" s="2"/>
    </x:row>
    <x:row r="19" ht="32" customHeight="1">
      <x:c r="A19" s="2"/>
      <x:c r="B19" s="10"/>
      <x:c r="C19" s="2"/>
      <x:c r="D19" s="6"/>
      <x:c r="E19" s="2"/>
      <x:c r="F19" s="2"/>
    </x:row>
    <x:row r="20" ht="32" customHeight="1">
      <x:c r="A20" s="2"/>
      <x:c r="B20" s="10"/>
      <x:c r="C20" s="2"/>
      <x:c r="D20" s="6"/>
      <x:c r="E20" s="2"/>
      <x:c r="F20" s="2"/>
    </x:row>
    <x:row r="21" ht="32" customHeight="1">
      <x:c r="A21" s="2" t="str">
        <x:v>Paso proyectado del píxel físico</x:v>
      </x:c>
      <x:c r="B21" s="10" t="n">
        <x:f>'Entradas'!B19*'Entradas'!B20/1000000/('Entradas'!B22/1000)</x:f>
        <x:v>60.49999999999999</x:v>
      </x:c>
      <x:c r="C21" s="2" t="str">
        <x:v>m</x:v>
      </x:c>
      <x:c r="D21" s="6" t="str">
        <x:v>Geometría ideal al nadir.</x:v>
      </x:c>
      <x:c r="E21" s="2"/>
      <x:c r="F21" s="2"/>
    </x:row>
    <x:row r="22" ht="32" customHeight="1">
      <x:c r="A22" s="2" t="str">
        <x:v>Paso proyectado de una banda</x:v>
      </x:c>
      <x:c r="B22" s="10" t="n">
        <x:f>B21*'Entradas'!B21</x:f>
        <x:v>302.49999999999994</x:v>
      </x:c>
      <x:c r="C22" s="2" t="str">
        <x:v>m</x:v>
      </x:c>
      <x:c r="D22" s="6" t="str">
        <x:v>Muestreo; no acredita resolución óptica efectiva.</x:v>
      </x:c>
      <x:c r="E22" s="2"/>
      <x:c r="F22" s="2"/>
    </x:row>
    <x:row r="23" ht="32" customHeight="1">
      <x:c r="A23" s="2" t="str">
        <x:v>Focal para el paso objetivo</x:v>
      </x:c>
      <x:c r="B23" s="10" t="n">
        <x:f>'Entradas'!B19*'Entradas'!B20/1000000*'Entradas'!B21/'Entradas'!B23*1000</x:f>
        <x:v>504.16666666666663</x:v>
      </x:c>
      <x:c r="C23" s="2" t="str">
        <x:v>mm</x:v>
      </x:c>
      <x:c r="D23" s="6" t="str">
        <x:v>Ejemplo geométrico; no lente aprobada.</x:v>
      </x:c>
      <x:c r="E23" s="2"/>
      <x:c r="F23" s="2"/>
    </x:row>
    <x:row r="24" ht="32" customHeight="1">
      <x:c r="A24" s="2"/>
      <x:c r="B24" s="10"/>
      <x:c r="C24" s="2"/>
      <x:c r="D24" s="6"/>
      <x:c r="E24" s="2"/>
      <x:c r="F24" s="2"/>
    </x:row>
    <x:row r="25" ht="32" customHeight="1">
      <x:c r="A25" s="2"/>
      <x:c r="B25" s="10"/>
      <x:c r="C25" s="2"/>
      <x:c r="D25" s="6"/>
      <x:c r="E25" s="2"/>
      <x:c r="F25" s="2"/>
    </x:row>
    <x:row r="26" ht="32" customHeight="1">
      <x:c r="A26" s="2" t="str">
        <x:v>Capacidad útil mínima de misión</x:v>
      </x:c>
      <x:c r="B26" s="10" t="n">
        <x:f>B44*1000</x:f>
        <x:v>12201.6064</x:v>
      </x:c>
      <x:c r="C26" s="2" t="str">
        <x:v>MB</x:v>
      </x:c>
      <x:c r="D26" s="6" t="str">
        <x:v>Véase almacenamiento: cuotas aprobadas, resultados y reservas.</x:v>
      </x:c>
      <x:c r="E26" s="2"/>
      <x:c r="F26" s="2"/>
    </x:row>
    <x:row r="27" ht="26" customHeight="1">
      <x:c r="A27" s="2"/>
      <x:c r="B27" s="2"/>
      <x:c r="C27" s="2"/>
      <x:c r="D27" s="2"/>
      <x:c r="E27" s="2"/>
      <x:c r="F27" s="2"/>
    </x:row>
    <x:row r="28" ht="26" customHeight="1">
      <x:c r="A28" s="2"/>
      <x:c r="B28" s="2"/>
      <x:c r="C28" s="2"/>
      <x:c r="D28" s="2"/>
      <x:c r="E28" s="2"/>
      <x:c r="F28" s="2"/>
    </x:row>
    <x:row r="29" ht="26" customHeight="1">
      <x:c r="A29" s="2" t="str">
        <x:v>Efecto de la focal (misma altura y mismo sensor)</x:v>
      </x:c>
      <x:c r="B29" s="2"/>
      <x:c r="C29" s="2"/>
      <x:c r="D29" s="2"/>
      <x:c r="E29" s="2"/>
      <x:c r="F29" s="2"/>
    </x:row>
    <x:row r="30" ht="30" customHeight="1">
      <x:c r="A30" s="5" t="str">
        <x:v>Focal (mm)</x:v>
      </x:c>
      <x:c r="B30" s="5" t="str">
        <x:v>Paso físico (m)</x:v>
      </x:c>
      <x:c r="C30" s="5" t="str">
        <x:v>Paso de banda (m)</x:v>
      </x:c>
      <x:c r="D30" s="5" t="str">
        <x:v>Estado</x:v>
      </x:c>
      <x:c r="E30" s="2"/>
      <x:c r="F30" s="2"/>
    </x:row>
    <x:row r="31" ht="26" customHeight="1">
      <x:c r="A31" s="2" t="n">
        <x:v>25</x:v>
      </x:c>
      <x:c r="B31" s="12" t="n">
        <x:f>'Entradas'!$B$19*'Entradas'!$B$20/1000000/(A31/1000)</x:f>
        <x:v>120.99999999999999</x:v>
      </x:c>
      <x:c r="C31" s="12" t="n">
        <x:f>B31*'Entradas'!$B$21</x:f>
        <x:v>604.9999999999999</x:v>
      </x:c>
      <x:c r="D31" s="2" t="str">
        <x:v>Hipótesis, no lente seleccionada</x:v>
      </x:c>
      <x:c r="E31" s="2"/>
      <x:c r="F31" s="2"/>
    </x:row>
    <x:row r="32" ht="26" customHeight="1">
      <x:c r="A32" s="2" t="n">
        <x:v>50</x:v>
      </x:c>
      <x:c r="B32" s="12" t="n">
        <x:f>'Entradas'!$B$19*'Entradas'!$B$20/1000000/(A32/1000)</x:f>
        <x:v>60.49999999999999</x:v>
      </x:c>
      <x:c r="C32" s="12" t="n">
        <x:f>B32*'Entradas'!$B$21</x:f>
        <x:v>302.49999999999994</x:v>
      </x:c>
      <x:c r="D32" s="2" t="str">
        <x:v>Hipótesis, no lente seleccionada</x:v>
      </x:c>
      <x:c r="E32" s="2"/>
      <x:c r="F32" s="2"/>
    </x:row>
    <x:row r="33" ht="26" customHeight="1">
      <x:c r="A33" s="2" t="n">
        <x:v>100</x:v>
      </x:c>
      <x:c r="B33" s="12" t="n">
        <x:f>'Entradas'!$B$19*'Entradas'!$B$20/1000000/(A33/1000)</x:f>
        <x:v>30.249999999999996</x:v>
      </x:c>
      <x:c r="C33" s="12" t="n">
        <x:f>B33*'Entradas'!$B$21</x:f>
        <x:v>151.24999999999997</x:v>
      </x:c>
      <x:c r="D33" s="2" t="str">
        <x:v>Hipótesis, no lente seleccionada</x:v>
      </x:c>
      <x:c r="E33" s="2"/>
      <x:c r="F33" s="2"/>
    </x:row>
    <x:row r="34" ht="26" customHeight="1">
      <x:c r="A34" s="2"/>
      <x:c r="B34" s="2"/>
      <x:c r="C34" s="2"/>
      <x:c r="D34" s="2"/>
      <x:c r="E34" s="2"/>
      <x:c r="F34" s="2"/>
    </x:row>
    <x:row r="35" ht="26" customHeight="1">
      <x:c r="A35" s="2" t="str">
        <x:v>La capacidad de observación de lotes a 550 km sigue sin demostrarse.</x:v>
      </x:c>
      <x:c r="B35" s="2"/>
      <x:c r="C35" s="2"/>
      <x:c r="D35" s="2"/>
      <x:c r="E35" s="2"/>
      <x:c r="F35" s="2"/>
    </x:row>
    <x:row r="36" ht="26" customHeight="1">
      <x:c r="A36" s="2"/>
      <x:c r="B36" s="2"/>
      <x:c r="C36" s="2"/>
      <x:c r="D36" s="2"/>
      <x:c r="E36" s="2"/>
      <x:c r="F36" s="2"/>
    </x:row>
    <x:row r="37" ht="26" customHeight="1">
      <x:c r="A37" s="2"/>
      <x:c r="B37" s="2"/>
      <x:c r="C37" s="2"/>
      <x:c r="D37" s="2"/>
      <x:c r="E37" s="2"/>
      <x:c r="F37" s="2"/>
    </x:row>
    <x:row r="38" ht="34" customHeight="1">
      <x:c r="A38" s="6" t="str">
        <x:v>Almacenamiento de misión</x:v>
      </x:c>
      <x:c r="B38" s="6"/>
      <x:c r="C38" s="6"/>
      <x:c r="D38" s="6"/>
    </x:row>
    <x:row r="39" ht="30" customHeight="1">
      <x:c r="A39" s="15" t="str">
        <x:v>Resultado</x:v>
      </x:c>
      <x:c r="B39" s="15" t="str">
        <x:v>Valor</x:v>
      </x:c>
      <x:c r="C39" s="15" t="str">
        <x:v>Unidad</x:v>
      </x:c>
      <x:c r="D39" s="15" t="str">
        <x:v>Justificación / alcance</x:v>
      </x:c>
    </x:row>
    <x:row r="40" ht="34" customHeight="1">
      <x:c r="A40" s="6" t="str">
        <x:v>Imágenes RAW diarias</x:v>
      </x:c>
      <x:c r="B40" s="16" t="n">
        <x:f>B11</x:f>
        <x:v>44.56448</x:v>
      </x:c>
      <x:c r="C40" s="6" t="str">
        <x:v>MB/día</x:v>
      </x:c>
      <x:c r="D40" s="6" t="str">
        <x:v>Escenario de cámara existente; no vídeo continuo.</x:v>
      </x:c>
    </x:row>
    <x:row r="41" ht="34" customHeight="1">
      <x:c r="A41" s="6" t="str">
        <x:v>Cuota de resultados</x:v>
      </x:c>
      <x:c r="B41" s="16" t="n">
        <x:f>B40*'Entradas'!B46</x:f>
        <x:v>44.56448</x:v>
      </x:c>
      <x:c r="C41" s="6" t="str">
        <x:v>MB/día</x:v>
      </x:c>
      <x:c r="D41" s="6" t="str">
        <x:v>Se conserva además del RAW; no redundancia.</x:v>
      </x:c>
    </x:row>
    <x:row r="42" ht="34" customHeight="1">
      <x:c r="A42" s="6" t="str">
        <x:v>Cuota de auxiliares</x:v>
      </x:c>
      <x:c r="B42" s="16" t="n">
        <x:f>'Entradas'!B47</x:f>
        <x:v>2</x:v>
      </x:c>
      <x:c r="C42" s="6" t="str">
        <x:v>MB/día</x:v>
      </x:c>
      <x:c r="D42" s="6" t="str">
        <x:v>Presupuesto conjunto; no medición de telemetría.</x:v>
      </x:c>
    </x:row>
    <x:row r="43" ht="34" customHeight="1">
      <x:c r="A43" s="6" t="str">
        <x:v>Generación presupuestada</x:v>
      </x:c>
      <x:c r="B43" s="16" t="n">
        <x:f>SUM(B40:B42)</x:f>
        <x:v>91.12896</x:v>
      </x:c>
      <x:c r="C43" s="6" t="str">
        <x:v>MB/día</x:v>
      </x:c>
      <x:c r="D43" s="6" t="str">
        <x:v>RAW + resultados + auxiliares.</x:v>
      </x:c>
    </x:row>
    <x:row r="44" ht="34" customHeight="1">
      <x:c r="A44" s="6" t="str">
        <x:v>Capacidad útil requerida</x:v>
      </x:c>
      <x:c r="B44" s="16" t="n">
        <x:f>'Entradas'!B26/1000+B43*'Entradas'!B24/1000+'Entradas'!B25/1000</x:f>
        <x:v>12.201606400000001</x:v>
      </x:c>
      <x:c r="C44" s="6" t="str">
        <x:v>GB</x:v>
      </x:c>
      <x:c r="D44" s="6" t="str">
        <x:v>Ocupación inicial + generación × días + reserva.</x:v>
      </x:c>
    </x:row>
    <x:row r="45" ht="34" customHeight="1">
      <x:c r="A45" s="6" t="str">
        <x:v>Margen adicional a la reserva</x:v>
      </x:c>
      <x:c r="B45" s="16" t="n">
        <x:f>'Entradas'!B49-B44</x:f>
        <x:v>2.798393599999999</x:v>
      </x:c>
      <x:c r="C45" s="6" t="str">
        <x:v>GB</x:v>
      </x:c>
      <x:c r="D45" s="6" t="str">
        <x:v>La reserva libre ya está incluida en B44.</x:v>
      </x:c>
    </x:row>
    <x:row r="46" ht="34" customHeight="1">
      <x:c r="A46" s="6" t="str">
        <x:v>Comparación con umbral útil</x:v>
      </x:c>
      <x:c r="B46" s="16" t="str">
        <x:f>IF(B45&gt;=0,"Cumple escenario","No cumple")</x:f>
        <x:v>Cumple escenario</x:v>
      </x:c>
      <x:c r="C46" s="6" t="str">
        <x:v>estado</x:v>
      </x:c>
      <x:c r="D46" s="6" t="str">
        <x:v>Condicional a capacidad útil real y cuotas; no ensayo físico.</x:v>
      </x:c>
    </x:row>
    <x:row r="47" ht="34" customHeight="1">
      <x:c r="A47" s="6" t="str">
        <x:v>Capacidad nominal</x:v>
      </x:c>
      <x:c r="B47" s="16" t="n">
        <x:f>'Entradas'!B48</x:f>
        <x:v>16</x:v>
      </x:c>
      <x:c r="C47" s="6" t="str">
        <x:v>GB</x:v>
      </x:c>
      <x:c r="D47" s="6" t="str">
        <x:v>Fabricante; distinta del espacio útil tras formato.</x:v>
      </x:c>
    </x:row>
    <x:row r="48" ht="34" customHeight="1">
      <x:c r="A48" s="6" t="str">
        <x:v>Capacidad útil exigida</x:v>
      </x:c>
      <x:c r="B48" s="16" t="n">
        <x:f>'Entradas'!B49</x:f>
        <x:v>15</x:v>
      </x:c>
      <x:c r="C48" s="6" t="str">
        <x:v>GB</x:v>
      </x:c>
      <x:c r="D48" s="6" t="str">
        <x:v>Umbral de aceptación; no medición.</x:v>
      </x:c>
    </x:row>
    <x:row r="49" ht="34" customHeight="1">
      <x:c r="A49" s="6" t="str">
        <x:v>Límite aritmético de retención</x:v>
      </x:c>
      <x:c r="B49" s="16" t="n">
        <x:f>IF(B43&gt;0,('Entradas'!B49-('Entradas'!B26+'Entradas'!B25)/1000)*1000/B43,"Sin generación")</x:f>
        <x:v>120.70806031364782</x:v>
      </x:c>
      <x:c r="C49" s="6" t="str">
        <x:v>días</x:v>
      </x:c>
      <x:c r="D49" s="6" t="str">
        <x:v>Con cuotas y ocupación inicial dadas; no retención física NAND.</x:v>
      </x:c>
    </x:row>
    <x:row r="50" ht="34" customHeight="1">
      <x:c r="A50" s="6" t="str">
        <x:v>Escritura lógica anual</x:v>
      </x:c>
      <x:c r="B50" s="16" t="n">
        <x:f>B43*'Entradas'!B55/1000</x:f>
        <x:v>33.262070400000006</x:v>
      </x:c>
      <x:c r="C50" s="6" t="str">
        <x:v>GB/año</x:v>
      </x:c>
      <x:c r="D50" s="6" t="str">
        <x:v>No equivale a desgaste físico ni TBW garantizado.</x:v>
      </x:c>
    </x:row>
    <x:row r="51" ht="34" customHeight="1">
      <x:c r="A51" s="6" t="str">
        <x:v>Techo bruto del bus SD</x:v>
      </x:c>
      <x:c r="B51" s="16" t="n">
        <x:f>'Entradas'!B50*'Entradas'!B51/8</x:f>
        <x:v>12.5</x:v>
      </x:c>
      <x:c r="C51" s="6" t="str">
        <x:v>MB/s</x:v>
      </x:c>
      <x:c r="D51" s="6" t="str">
        <x:v>No velocidad sostenida de archivo.</x:v>
      </x:c>
    </x:row>
    <x:row r="52" ht="34" customHeight="1">
      <x:c r="A52" s="6" t="str">
        <x:v>Escritura útil objetivo</x:v>
      </x:c>
      <x:c r="B52" s="16" t="n">
        <x:f>B8*(1+'Entradas'!B46)/'Entradas'!B52/1000000</x:f>
        <x:v>4.456448</x:v>
      </x:c>
      <x:c r="C52" s="6" t="str">
        <x:v>MB/s</x:v>
      </x:c>
      <x:c r="D52" s="6" t="str">
        <x:v>RAW + resultado por adquisición en el tiempo objetivo.</x:v>
      </x:c>
    </x:row>
    <x:row r="53" ht="34" customHeight="1">
      <x:c r="A53" s="6" t="str">
        <x:v>Potencia máxima de microSD</x:v>
      </x:c>
      <x:c r="B53" s="16" t="str">
        <x:f>IF(ISNUMBER('Entradas'!B54),'Entradas'!B53*'Entradas'!B54,"Pendiente")</x:f>
        <x:v>Pendiente</x:v>
      </x:c>
      <x:c r="C53" s="6" t="str">
        <x:v>W</x:v>
      </x:c>
      <x:c r="D53" s="6" t="str">
        <x:v>Falta corriente máxima y arranque; no asumir cero.</x:v>
      </x:c>
    </x:row>
    <x:row r="54" ht="34" customHeight="1">
      <x:c r="A54" s="6"/>
      <x:c r="B54" s="6"/>
      <x:c r="C54" s="6"/>
      <x:c r="D54" s="6"/>
    </x:row>
    <x:row r="55" ht="30" customHeight="1">
      <x:c r="A55" s="15" t="str">
        <x:v>Retención (días)</x:v>
      </x:c>
      <x:c r="B55" s="15" t="str">
        <x:v>Requerida (GB)</x:v>
      </x:c>
      <x:c r="C55" s="15" t="str">
        <x:v>Margen (GB)</x:v>
      </x:c>
      <x:c r="D55" s="15" t="str">
        <x:v>Comparación con umbral útil</x:v>
      </x:c>
    </x:row>
    <x:row r="56" ht="34" customHeight="1">
      <x:c r="A56" s="6" t="n">
        <x:v>30</x:v>
      </x:c>
      <x:c r="B56" s="16" t="n">
        <x:f>'Entradas'!$B$26/1000+$B$43*A56/1000+'Entradas'!$B$25/1000</x:f>
        <x:v>6.7338688</x:v>
      </x:c>
      <x:c r="C56" s="16" t="n">
        <x:f>'Entradas'!$B$49-B56</x:f>
        <x:v>8.2661312</x:v>
      </x:c>
      <x:c r="D56" s="6" t="str">
        <x:f>IF(C56&gt;=0,"Cumple escenario","No cumple")</x:f>
        <x:v>Cumple escenario</x:v>
      </x:c>
    </x:row>
    <x:row r="57" ht="34" customHeight="1">
      <x:c r="A57" s="6" t="n">
        <x:f>'Entradas'!B24</x:f>
        <x:v>90</x:v>
      </x:c>
      <x:c r="B57" s="16" t="n">
        <x:f>'Entradas'!$B$26/1000+$B$43*A57/1000+'Entradas'!$B$25/1000</x:f>
        <x:v>12.201606400000001</x:v>
      </x:c>
      <x:c r="C57" s="16" t="n">
        <x:f>'Entradas'!$B$49-B57</x:f>
        <x:v>2.798393599999999</x:v>
      </x:c>
      <x:c r="D57" s="6" t="str">
        <x:f>IF(C57&gt;=0,"Cumple escenario","No cumple")</x:f>
        <x:v>Cumple escenario</x:v>
      </x:c>
    </x:row>
    <x:row r="58" ht="34" customHeight="1">
      <x:c r="A58" s="6" t="n">
        <x:v>180</x:v>
      </x:c>
      <x:c r="B58" s="16" t="n">
        <x:f>'Entradas'!$B$26/1000+$B$43*A58/1000+'Entradas'!$B$25/1000</x:f>
        <x:v>20.403212800000002</x:v>
      </x:c>
      <x:c r="C58" s="16" t="n">
        <x:f>'Entradas'!$B$49-B58</x:f>
        <x:v>-5.403212800000002</x:v>
      </x:c>
      <x:c r="D58" s="6" t="str">
        <x:f>IF(C58&gt;=0,"Cumple escenario","No cumple")</x:f>
        <x:v>No cumple</x:v>
      </x:c>
    </x:row>
    <x:row r="59" ht="34" customHeight="1">
      <x:c r="A59" s="6"/>
      <x:c r="B59" s="6"/>
      <x:c r="C59" s="6"/>
      <x:c r="D59" s="6"/>
    </x:row>
    <x:row r="60" ht="34" customHeight="1">
      <x:c r="A60" s="6"/>
      <x:c r="B60" s="6"/>
      <x:c r="C60" s="6"/>
      <x:c r="D60" s="6"/>
    </x:row>
    <x:row r="61" ht="34" customHeight="1">
      <x:c r="A61" s="6"/>
      <x:c r="B61" s="6"/>
      <x:c r="C61" s="6"/>
      <x:c r="D61" s="6"/>
    </x:row>
    <x:row r="62" ht="34" customHeight="1">
      <x:c r="A62" s="6" t="str">
        <x:v>Computador: capacidad de alimentación y recursos</x:v>
      </x:c>
      <x:c r="B62" s="6"/>
      <x:c r="C62" s="6"/>
      <x:c r="D62" s="6"/>
    </x:row>
    <x:row r="63" ht="30" customHeight="1">
      <x:c r="A63" s="15" t="str">
        <x:v>Resultado</x:v>
      </x:c>
      <x:c r="B63" s="15" t="str">
        <x:v>Valor</x:v>
      </x:c>
      <x:c r="C63" s="15" t="str">
        <x:v>Unidad</x:v>
      </x:c>
      <x:c r="D63" s="15" t="str">
        <x:v>Justificación / alcance</x:v>
      </x:c>
    </x:row>
    <x:row r="64" ht="34" customHeight="1">
      <x:c r="A64" s="6" t="str">
        <x:v>Tensión mínima SoM</x:v>
      </x:c>
      <x:c r="B64" s="16" t="n">
        <x:f>'Entradas'!B56*(1-'Entradas'!B57)</x:f>
        <x:v>4.75</x:v>
      </x:c>
      <x:c r="C64" s="6" t="str">
        <x:v>V</x:v>
      </x:c>
      <x:c r="D64" s="6" t="str">
        <x:v>Tensión exigida en pines VCC.</x:v>
      </x:c>
    </x:row>
    <x:row r="65" ht="34" customHeight="1">
      <x:c r="A65" s="6" t="str">
        <x:v>Tensión máxima SoM</x:v>
      </x:c>
      <x:c r="B65" s="16" t="n">
        <x:f>'Entradas'!B56*(1+'Entradas'!B57)</x:f>
        <x:v>5.25</x:v>
      </x:c>
      <x:c r="C65" s="6" t="str">
        <x:v>V</x:v>
      </x:c>
      <x:c r="D65" s="6" t="str">
        <x:v>Dentro de 3,135–5,5 V recomendados.</x:v>
      </x:c>
    </x:row>
    <x:row r="66" ht="34" customHeight="1">
      <x:c r="A66" s="6" t="str">
        <x:v>Corriente sostenida de diseño</x:v>
      </x:c>
      <x:c r="B66" s="16" t="n">
        <x:f>'Entradas'!B58/B64</x:f>
        <x:v>1.736842105263158</x:v>
      </x:c>
      <x:c r="C66" s="6" t="str">
        <x:v>A</x:v>
      </x:c>
      <x:c r="D66" s="6" t="str">
        <x:v>Envolvente de familia / tensión mínima.</x:v>
      </x:c>
    </x:row>
    <x:row r="67" ht="34" customHeight="1">
      <x:c r="A67" s="6" t="str">
        <x:v>Corriente de pico de diseño</x:v>
      </x:c>
      <x:c r="B67" s="16" t="n">
        <x:f>'Entradas'!B59/B64</x:f>
        <x:v>2.6315789473684212</x:v>
      </x:c>
      <x:c r="C67" s="6" t="str">
        <x:v>A</x:v>
      </x:c>
      <x:c r="D67" s="6" t="str">
        <x:v>No consumo observado de nuestra revisión.</x:v>
      </x:c>
    </x:row>
    <x:row r="68" ht="34" customHeight="1">
      <x:c r="A68" s="6" t="str">
        <x:v>Capacidad a tensión mínima</x:v>
      </x:c>
      <x:c r="B68" s="16" t="n">
        <x:f>B64*'Entradas'!B60</x:f>
        <x:v>14.25</x:v>
      </x:c>
      <x:c r="C68" s="6" t="str">
        <x:v>W</x:v>
      </x:c>
      <x:c r="D68" s="6" t="str">
        <x:v>Rama exclusiva de computador.</x:v>
      </x:c>
    </x:row>
    <x:row r="69" ht="34" customHeight="1">
      <x:c r="A69" s="6" t="str">
        <x:v>Margen sobre envolvente pico</x:v>
      </x:c>
      <x:c r="B69" s="17" t="n">
        <x:f>B68/'Entradas'!B59-1</x:f>
        <x:v>0.1399999999999999</x:v>
      </x:c>
      <x:c r="C69" s="6" t="str">
        <x:v>fracción</x:v>
      </x:c>
      <x:c r="D69" s="6" t="str">
        <x:v>No asignar este margen a cargas externas.</x:v>
      </x:c>
    </x:row>
    <x:row r="70" ht="34" customHeight="1">
      <x:c r="A70" s="6" t="str">
        <x:v>Buffers RAW</x:v>
      </x:c>
      <x:c r="B70" s="20" t="n">
        <x:f>B8*'Entradas'!B64</x:f>
        <x:v>8912896</x:v>
      </x:c>
      <x:c r="C70" s="6" t="str">
        <x:v>bytes</x:v>
      </x:c>
      <x:c r="D70" s="6" t="str">
        <x:v>No incluye Linux, SDK ni algoritmo.</x:v>
      </x:c>
    </x:row>
    <x:row r="71" ht="34" customHeight="1">
      <x:c r="A71" s="6" t="str">
        <x:v>Área proyectada módulo</x:v>
      </x:c>
      <x:c r="B71" s="16" t="n">
        <x:f>'Entradas'!B61*'Entradas'!B62</x:f>
        <x:v>2436</x:v>
      </x:c>
      <x:c r="C71" s="6" t="str">
        <x:v>mm²</x:v>
      </x:c>
      <x:c r="D71" s="6" t="str">
        <x:v>Solo proyección del módulo.</x:v>
      </x:c>
    </x:row>
    <x:row r="72" ht="34" customHeight="1">
      <x:c r="A72" s="6" t="str">
        <x:v>Fracción de área de PCB</x:v>
      </x:c>
      <x:c r="B72" s="17" t="n">
        <x:f>B71/('Entradas'!B63^2)</x:f>
        <x:v>0.30074074074074075</x:v>
      </x:c>
      <x:c r="C72" s="6" t="str">
        <x:v>fracción</x:v>
      </x:c>
      <x:c r="D72" s="6" t="str">
        <x:v>No demuestra encaje con RF y disipación.</x:v>
      </x:c>
    </x:row>
    <x:row r="73" ht="34" customHeight="1">
      <x:c r="A73" s="6"/>
      <x:c r="B73" s="6"/>
      <x:c r="C73" s="6"/>
      <x:c r="D73" s="6"/>
    </x:row>
    <x:row r="74" ht="34" customHeight="1">
      <x:c r="A74" s="6"/>
      <x:c r="B74" s="6"/>
      <x:c r="C74" s="6"/>
      <x:c r="D74" s="6"/>
    </x:row>
    <x:row r="75" ht="34" customHeight="1">
      <x:c r="A75" s="6" t="str">
        <x:v>UART de actitud: techo antes de protocolo</x:v>
      </x:c>
      <x:c r="B75" s="6"/>
      <x:c r="C75" s="6"/>
      <x:c r="D75" s="6"/>
    </x:row>
    <x:row r="76" ht="34" customHeight="1">
      <x:c r="A76" s="6" t="str">
        <x:v>Bits transmitidos por byte</x:v>
      </x:c>
      <x:c r="B76" s="20" t="n">
        <x:f>SUM('Entradas'!B85:B87)</x:f>
        <x:v>10</x:v>
      </x:c>
      <x:c r="C76" s="6" t="str">
        <x:v>bits</x:v>
      </x:c>
      <x:c r="D76" s="6" t="str">
        <x:v>Inicio + datos + parada; 8N1.</x:v>
      </x:c>
    </x:row>
    <x:row r="77" ht="34" customHeight="1">
      <x:c r="A77" s="6" t="str">
        <x:v>Techo de carga útil UART</x:v>
      </x:c>
      <x:c r="B77" s="20" t="n">
        <x:f>'Entradas'!B84/B76</x:f>
        <x:v>11520</x:v>
      </x:c>
      <x:c r="C77" s="6" t="str">
        <x:v>bytes/s</x:v>
      </x:c>
      <x:c r="D77" s="6" t="str">
        <x:v>No acredita suficiencia de telemetría ni descuenta cabeceras.</x:v>
      </x:c>
    </x:row>
    <x:row r="79" ht="44" customHeight="1">
      <x:c r="A79" s="6" t="str">
        <x:v>Polarización UART: cotas por resistencia</x:v>
      </x:c>
      <x:c r="B79" s="6"/>
      <x:c r="C79" s="6"/>
      <x:c r="D79" s="6" t="str">
        <x:v>No representa consumo total ni permanente de la interfaz.</x:v>
      </x:c>
    </x:row>
    <x:row r="80" ht="44" customHeight="1">
      <x:c r="A80" s="6" t="str">
        <x:v>Resistencia mínima</x:v>
      </x:c>
      <x:c r="B80" s="29" t="n">
        <x:f>'Entradas'!B90*(1-'Entradas'!B91)*(1-'Entradas'!B99/1000000*'Entradas'!B100)</x:f>
        <x:v>9835.65</x:v>
      </x:c>
      <x:c r="C80" s="6" t="str">
        <x:v>ohm</x:v>
      </x:c>
      <x:c r="D80" s="6" t="str">
        <x:v>10 kohm: tolerancia inicial y coeficiente térmico.</x:v>
      </x:c>
    </x:row>
    <x:row r="81" ht="44" customHeight="1">
      <x:c r="A81" s="6" t="str">
        <x:v>Resistencia máxima</x:v>
      </x:c>
      <x:c r="B81" s="29" t="n">
        <x:f>'Entradas'!B90*(1+'Entradas'!B91)*(1+'Entradas'!B99/1000000*'Entradas'!B100)</x:f>
        <x:v>10165.65</x:v>
      </x:c>
      <x:c r="C81" s="6" t="str">
        <x:v>ohm</x:v>
      </x:c>
      <x:c r="D81" s="6" t="str">
        <x:v>10 kohm: tolerancia inicial y coeficiente térmico.</x:v>
      </x:c>
    </x:row>
    <x:row r="82" ht="44" customHeight="1">
      <x:c r="A82" s="6" t="str">
        <x:v>Corriente máxima por resistencia A</x:v>
      </x:c>
      <x:c r="B82" s="26" t="n">
        <x:f>'Entradas'!B92/B80*1000</x:f>
        <x:v>0.1982583764164036</x:v>
      </x:c>
      <x:c r="C82" s="6" t="str">
        <x:v>mA</x:v>
      </x:c>
      <x:c r="D82" s="6" t="str">
        <x:v>Cuando soporta toda la tensión de 1,95 V.</x:v>
      </x:c>
    </x:row>
    <x:row r="83" ht="44" customHeight="1">
      <x:c r="A83" s="6" t="str">
        <x:v>Corriente máxima por resistencia B</x:v>
      </x:c>
      <x:c r="B83" s="26" t="n">
        <x:f>'Entradas'!B93/B80*1000</x:f>
        <x:v>0.3660154641533605</x:v>
      </x:c>
      <x:c r="C83" s="6" t="str">
        <x:v>mA</x:v>
      </x:c>
      <x:c r="D83" s="6" t="str">
        <x:v>Cuando soporta toda la tensión de 3,6 V.</x:v>
      </x:c>
    </x:row>
    <x:row r="84" ht="44" customHeight="1">
      <x:c r="A84" s="6" t="str">
        <x:v>Potencia máxima por resistencia A</x:v>
      </x:c>
      <x:c r="B84" s="26" t="n">
        <x:f>'Entradas'!B92^2/B80*1000</x:f>
        <x:v>0.386603834011987</x:v>
      </x:c>
      <x:c r="C84" s="6" t="str">
        <x:v>mW</x:v>
      </x:c>
      <x:c r="D84" s="6" t="str">
        <x:v>V²/R; verificar derating del componente elegido.</x:v>
      </x:c>
    </x:row>
    <x:row r="85" ht="44" customHeight="1">
      <x:c r="A85" s="6" t="str">
        <x:v>Potencia máxima por resistencia B</x:v>
      </x:c>
      <x:c r="B85" s="26" t="n">
        <x:f>'Entradas'!B93^2/B80*1000</x:f>
        <x:v>1.317655670952098</x:v>
      </x:c>
      <x:c r="C85" s="6" t="str">
        <x:v>mW</x:v>
      </x:c>
      <x:c r="D85" s="6" t="str">
        <x:v>V²/R; no equivale a potencia del traductor.</x:v>
      </x:c>
    </x:row>
    <x:row r="86" ht="44" customHeight="1">
      <x:c r="A86" s="6" t="str">
        <x:v>Cota de OE deshabilitado por fuga</x:v>
      </x:c>
      <x:c r="B86" s="26" t="n">
        <x:f>('Entradas'!B102+'Entradas'!B95)/1000000*B81</x:f>
        <x:v>0.0609939</x:v>
      </x:c>
      <x:c r="C86" s="6" t="str">
        <x:v>V</x:v>
      </x:c>
      <x:c r="D86" s="6" t="str">
        <x:v>GPIO en alta impedancia: 4 uA NXP + 2 uA TI; no salida activa.</x:v>
      </x:c>
    </x:row>
    <x:row r="88" ht="48" customHeight="1">
      <x:c r="A88" s="6" t="str">
        <x:v>Resistencia mínima A2Y</x:v>
      </x:c>
      <x:c r="B88" s="26" t="n">
        <x:f>'Entradas'!B98*(1-'Entradas'!B91)*(1-'Entradas'!B99/1000000*'Entradas'!B100)</x:f>
        <x:v>46227.555</x:v>
      </x:c>
      <x:c r="C88" s="6" t="str">
        <x:v>ohm</x:v>
      </x:c>
      <x:c r="D88" s="6" t="str">
        <x:v>47 kohm con tolerancia y temperatura.</x:v>
      </x:c>
    </x:row>
    <x:row r="89" ht="48" customHeight="1">
      <x:c r="A89" s="6" t="str">
        <x:v>Resistencia máxima A2Y</x:v>
      </x:c>
      <x:c r="B89" s="26" t="n">
        <x:f>'Entradas'!B98*(1+'Entradas'!B91)*(1+'Entradas'!B99/1000000*'Entradas'!B100)</x:f>
        <x:v>47778.555</x:v>
      </x:c>
      <x:c r="C89" s="6" t="str">
        <x:v>ohm</x:v>
      </x:c>
      <x:c r="D89" s="6" t="str">
        <x:v>47 kohm con tolerancia y temperatura.</x:v>
      </x:c>
    </x:row>
    <x:row r="90" ht="48" customHeight="1">
      <x:c r="A90" s="6" t="str">
        <x:v>Carga estática máxima A2Y</x:v>
      </x:c>
      <x:c r="B90" s="26" t="n">
        <x:f>'Entradas'!B92/B88*1000000+'Entradas'!B102</x:f>
        <x:v>46.182633280085874</x:v>
      </x:c>
      <x:c r="C90" s="6" t="str">
        <x:v>uA</x:v>
      </x:c>
      <x:c r="D90" s="6" t="str">
        <x:v>Debe ser ≤100 uA para usar VOH=VCC−0,1 y VOL=0,1 V.</x:v>
      </x:c>
    </x:row>
    <x:row r="91" ht="48" customHeight="1">
      <x:c r="A91" s="6" t="str">
        <x:v>Carga estática máxima B1Y</x:v>
      </x:c>
      <x:c r="B91" s="26" t="n">
        <x:f>'Entradas'!B93/B88*1000000+'Entradas'!B94+'Entradas'!B103</x:f>
        <x:v>87.92563067092776</x:v>
      </x:c>
      <x:c r="C91" s="6" t="str">
        <x:v>uA</x:v>
      </x:c>
      <x:c r="D91" s="6" t="str">
        <x:v>Pull-up externo 47 kohm con igual envolvente; fuga externa y TVS.</x:v>
      </x:c>
    </x:row>
    <x:row r="92" ht="48" customHeight="1">
      <x:c r="A92" s="6" t="str">
        <x:v>Margen alto: traductor → Verdin</x:v>
      </x:c>
      <x:c r="B92" s="26" t="n">
        <x:f>'Entradas'!B101-0.1-'Entradas'!B104*'Entradas'!B92</x:f>
        <x:v>0.18499999999999983</x:v>
      </x:c>
      <x:c r="C92" s="6" t="str">
        <x:v>V</x:v>
      </x:c>
      <x:c r="D92" s="6" t="str">
        <x:v>No valida dirección Verdin → traductor.</x:v>
      </x:c>
    </x:row>
    <x:row r="93" ht="48" customHeight="1">
      <x:c r="A93" s="6" t="str">
        <x:v>Margen bajo: traductor → Verdin</x:v>
      </x:c>
      <x:c r="B93" s="26" t="n">
        <x:f>'Entradas'!B105*'Entradas'!B101-0.1</x:f>
        <x:v>0.3949999999999999</x:v>
      </x:c>
      <x:c r="C93" s="6" t="str">
        <x:v>V</x:v>
      </x:c>
      <x:c r="D93" s="6" t="str">
        <x:v>Extremos independientes de alimentación; carga indicada.</x:v>
      </x:c>
    </x:row>
    <x:row r="94" ht="48" customHeight="1">
      <x:c r="A94" s="6" t="str">
        <x:v>Margen alto: traductor → ADCS</x:v>
      </x:c>
      <x:c r="B94" s="26" t="n">
        <x:f>3-0.1-'Entradas'!B106</x:f>
        <x:v>0.3799999999999999</x:v>
      </x:c>
      <x:c r="C94" s="6" t="str">
        <x:v>V</x:v>
      </x:c>
      <x:c r="D94" s="6" t="str">
        <x:v>VCCB mínimo 3,0 V; receptor externo definido por contrato.</x:v>
      </x:c>
    </x:row>
    <x:row r="95" ht="48" customHeight="1">
      <x:c r="A95" s="6" t="str">
        <x:v>Margen bajo: traductor → ADCS</x:v>
      </x:c>
      <x:c r="B95" s="26" t="n">
        <x:f>'Entradas'!B107-0.1</x:f>
        <x:v>0.8</x:v>
      </x:c>
      <x:c r="C95" s="6" t="str">
        <x:v>V</x:v>
      </x:c>
      <x:c r="D95" s="6" t="str">
        <x:v>Receptor externo definido por contrato.</x:v>
      </x:c>
    </x:row>
    <x:row r="96" ht="48" customHeight="1">
      <x:c r="A96" s="6" t="str">
        <x:v>Cota estática conservadora lado A</x:v>
      </x:c>
      <x:c r="B96" s="26" t="n">
        <x:f>2*B82+'Entradas'!B92/B88*1000+0.006</x:f>
        <x:v>0.44469938611289306</x:v>
      </x:c>
      <x:c r="C96" s="6" t="str">
        <x:v>mA</x:v>
      </x:c>
      <x:c r="D96" s="6" t="str">
        <x:v>Incluye polarización y 6 uA del traductor; excluye dinámica.</x:v>
      </x:c>
    </x:row>
    <x:row r="97" ht="48" customHeight="1">
      <x:c r="A97" s="6" t="str">
        <x:v>Potencia máxima pull-up A2Y</x:v>
      </x:c>
      <x:c r="B97" s="26" t="n">
        <x:f>'Entradas'!B92^2/B88*1000</x:f>
        <x:v>0.08225613489616744</x:v>
      </x:c>
      <x:c r="C97" s="6" t="str">
        <x:v>mW</x:v>
      </x:c>
      <x:c r="D97" s="6" t="str">
        <x:v>Cota estática con tensión máxima del lado A.</x:v>
      </x:c>
    </x:row>
  </x:sheetData>
  <x:conditionalFormatting sqref="B45:B45">
    <x:cfRule type="cellIs" dxfId="0" priority="1" operator="lessThan">
      <x:formula>0</x:formula>
    </x:cfRule>
  </x:conditionalFormatting>
  <x:conditionalFormatting sqref="C56:C58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5863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24" hidden="0" customWidth="1"/>
    <x:col min="5" max="5" width="16" hidden="0" customWidth="1"/>
    <x:col min="6" max="6" width="54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26" customHeight="1">
      <x:c r="A2" s="3" t="str">
        <x:v>Datos y supuestos de componentes</x:v>
      </x:c>
      <x:c r="B2" s="2"/>
      <x:c r="C2" s="2"/>
      <x:c r="D2" s="2"/>
      <x:c r="E2" s="2"/>
      <x:c r="F2" s="2"/>
    </x:row>
    <x:row r="3" ht="26" customHeight="1">
      <x:c r="A3" s="2" t="str">
        <x:v>Actualización: 2026-10-25. Amarillo: decisiones editables o datos por completar.</x:v>
      </x:c>
      <x:c r="B3" s="2"/>
      <x:c r="C3" s="2"/>
      <x:c r="D3" s="2"/>
      <x:c r="E3" s="2"/>
      <x:c r="F3" s="2"/>
    </x:row>
    <x:row r="4" ht="26" customHeight="1">
      <x:c r="A4" s="2"/>
      <x:c r="B4" s="2"/>
      <x:c r="C4" s="2"/>
      <x:c r="D4" s="2"/>
      <x:c r="E4" s="2"/>
      <x:c r="F4" s="2"/>
    </x:row>
    <x:row r="5" ht="30" customHeight="1">
      <x:c r="A5" s="5" t="str">
        <x:v>Parámetro</x:v>
      </x:c>
      <x:c r="B5" s="5" t="str">
        <x:v>Valor</x:v>
      </x:c>
      <x:c r="C5" s="5" t="str">
        <x:v>Unidad</x:v>
      </x:c>
      <x:c r="D5" s="5" t="str">
        <x:v>Tipo</x:v>
      </x:c>
      <x:c r="E5" s="5" t="str">
        <x:v>Fuente</x:v>
      </x:c>
      <x:c r="F5" s="5" t="str">
        <x:v>Alcance</x:v>
      </x:c>
    </x:row>
    <x:row r="6" ht="43" customHeight="1">
      <x:c r="A6" s="6" t="str">
        <x:v>Ancho del cuadro</x:v>
      </x:c>
      <x:c r="B6" s="7" t="n">
        <x:v>2048</x:v>
      </x:c>
      <x:c r="C6" s="6" t="str">
        <x:v>píxeles</x:v>
      </x:c>
      <x:c r="D6" s="6" t="str">
        <x:v>Fabricante</x:v>
      </x:c>
      <x:c r="E6" s="6" t="str">
        <x:v>SRC-001</x:v>
      </x:c>
      <x:c r="F6" s="6" t="str">
        <x:v>Cuadro bruto completo</x:v>
      </x:c>
    </x:row>
    <x:row r="7" ht="43" customHeight="1">
      <x:c r="A7" s="6" t="str">
        <x:v>Alto del cuadro</x:v>
      </x:c>
      <x:c r="B7" s="7" t="n">
        <x:v>1088</x:v>
      </x:c>
      <x:c r="C7" s="6" t="str">
        <x:v>píxeles</x:v>
      </x:c>
      <x:c r="D7" s="6" t="str">
        <x:v>Fabricante</x:v>
      </x:c>
      <x:c r="E7" s="6" t="str">
        <x:v>SRC-001</x:v>
      </x:c>
      <x:c r="F7" s="6" t="str">
        <x:v>Cuadro bruto completo</x:v>
      </x:c>
    </x:row>
    <x:row r="8" ht="43" customHeight="1">
      <x:c r="A8" s="6" t="str">
        <x:v>Profundidad del sensor</x:v>
      </x:c>
      <x:c r="B8" s="7" t="n">
        <x:v>10</x:v>
      </x:c>
      <x:c r="C8" s="6" t="str">
        <x:v>bits/muestra</x:v>
      </x:c>
      <x:c r="D8" s="6" t="str">
        <x:v>Fabricante</x:v>
      </x:c>
      <x:c r="E8" s="6" t="str">
        <x:v>SRC-001</x:v>
      </x:c>
      <x:c r="F8" s="6" t="str">
        <x:v>No equivale al tamaño del contenedor</x:v>
      </x:c>
    </x:row>
    <x:row r="9" ht="43" customHeight="1">
      <x:c r="A9" s="6" t="str">
        <x:v>Contenedor RAW16</x:v>
      </x:c>
      <x:c r="B9" s="8" t="n">
        <x:v>16</x:v>
      </x:c>
      <x:c r="C9" s="6" t="str">
        <x:v>bits/muestra</x:v>
      </x:c>
      <x:c r="D9" s="6" t="str">
        <x:v>Criterio de cálculo</x:v>
      </x:c>
      <x:c r="E9" s="6" t="str">
        <x:v>SRC-002</x:v>
      </x:c>
      <x:c r="F9" s="6" t="str">
        <x:v>Sin compresión; datos originales en RAW16</x:v>
      </x:c>
    </x:row>
    <x:row r="10" ht="43" customHeight="1">
      <x:c r="A10" s="6" t="str">
        <x:v>Adquisiciones al día</x:v>
      </x:c>
      <x:c r="B10" s="8" t="n">
        <x:v>10</x:v>
      </x:c>
      <x:c r="C10" s="6" t="str">
        <x:v>adquisiciones/día</x:v>
      </x:c>
      <x:c r="D10" s="6" t="str">
        <x:v>Supuesto acordado</x:v>
      </x:c>
      <x:c r="E10" s="6" t="str">
        <x:v>Lab 3 / acuerdo</x:v>
      </x:c>
      <x:c r="F10" s="6" t="str">
        <x:v>Sujeto a revisión del enlace</x:v>
      </x:c>
    </x:row>
    <x:row r="11" ht="43" customHeight="1">
      <x:c r="A11" s="6" t="str">
        <x:v>Cuadros por adquisición</x:v>
      </x:c>
      <x:c r="B11" s="8" t="n">
        <x:v>1</x:v>
      </x:c>
      <x:c r="C11" s="6" t="str">
        <x:v>cuadros</x:v>
      </x:c>
      <x:c r="D11" s="6" t="str">
        <x:v>Supuesto de cálculo</x:v>
      </x:c>
      <x:c r="E11" s="6" t="str">
        <x:v>Definición</x:v>
      </x:c>
      <x:c r="F11" s="6" t="str">
        <x:v>Una captura = un cuadro bruto</x:v>
      </x:c>
    </x:row>
    <x:row r="12" ht="43" customHeight="1">
      <x:c r="A12" s="6" t="str">
        <x:v>Contacto diario</x:v>
      </x:c>
      <x:c r="B12" s="8" t="n">
        <x:v>600</x:v>
      </x:c>
      <x:c r="C12" s="6" t="str">
        <x:v>s/día</x:v>
      </x:c>
      <x:c r="D12" s="6" t="str">
        <x:v>Supuesto acordado</x:v>
      </x:c>
      <x:c r="E12" s="6" t="str">
        <x:v>Lab 3 / acuerdo</x:v>
      </x:c>
      <x:c r="F12" s="6" t="str">
        <x:v>No validado mediante análisis orbital</x:v>
      </x:c>
    </x:row>
    <x:row r="13" ht="43" customHeight="1">
      <x:c r="A13" s="6" t="str">
        <x:v>Metadatos y relleno por cuadro</x:v>
      </x:c>
      <x:c r="B13" s="8" t="n">
        <x:v>0</x:v>
      </x:c>
      <x:c r="C13" s="6" t="str">
        <x:v>bytes</x:v>
      </x:c>
      <x:c r="D13" s="6" t="str">
        <x:v>Supuesto de cálculo</x:v>
      </x:c>
      <x:c r="E13" s="6" t="str">
        <x:v>Por verificar</x:v>
      </x:c>
      <x:c r="F13" s="6" t="str">
        <x:v>Cota sin sobrecarga del archivo</x:v>
      </x:c>
    </x:row>
    <x:row r="14" ht="43" customHeight="1">
      <x:c r="A14" s="6" t="str">
        <x:v>Telemetría y eventos diarios</x:v>
      </x:c>
      <x:c r="B14" s="8"/>
      <x:c r="C14" s="6" t="str">
        <x:v>MB/día</x:v>
      </x:c>
      <x:c r="D14" s="6" t="str">
        <x:v>Pendiente</x:v>
      </x:c>
      <x:c r="E14" s="6" t="str">
        <x:v>Por dimensionar</x:v>
      </x:c>
      <x:c r="F14" s="6" t="str">
        <x:v>Vacío significa desconocido, no cero</x:v>
      </x:c>
    </x:row>
    <x:row r="15" ht="43" customHeight="1">
      <x:c r="A15" s="6" t="str">
        <x:v>Fracción útil del enlace</x:v>
      </x:c>
      <x:c r="B15" s="9"/>
      <x:c r="C15" s="6" t="str">
        <x:v>fracción</x:v>
      </x:c>
      <x:c r="D15" s="6" t="str">
        <x:v>Pendiente</x:v>
      </x:c>
      <x:c r="E15" s="6" t="str">
        <x:v>Protocolo futuro</x:v>
      </x:c>
      <x:c r="F15" s="6" t="str">
        <x:v>Mayor que cero y hasta 1</x:v>
      </x:c>
    </x:row>
    <x:row r="16" ht="43" customHeight="1">
      <x:c r="A16" s="6" t="str">
        <x:v>Potencia publicada de cámara</x:v>
      </x:c>
      <x:c r="B16" s="7" t="n">
        <x:v>1.6</x:v>
      </x:c>
      <x:c r="C16" s="6" t="str">
        <x:v>W</x:v>
      </x:c>
      <x:c r="D16" s="6" t="str">
        <x:v>Fabricante</x:v>
      </x:c>
      <x:c r="E16" s="6" t="str">
        <x:v>SRC-001</x:v>
      </x:c>
      <x:c r="F16" s="6" t="str">
        <x:v>No se identifica como máximo de arranque</x:v>
      </x:c>
    </x:row>
    <x:row r="17" ht="43" customHeight="1">
      <x:c r="A17" s="6" t="str">
        <x:v>Tensión para equivalencia</x:v>
      </x:c>
      <x:c r="B17" s="8" t="n">
        <x:v>5</x:v>
      </x:c>
      <x:c r="C17" s="6" t="str">
        <x:v>V</x:v>
      </x:c>
      <x:c r="D17" s="6" t="str">
        <x:v>Supuesto nominal</x:v>
      </x:c>
      <x:c r="E17" s="6" t="str">
        <x:v>USB / cálculo</x:v>
      </x:c>
      <x:c r="F17" s="6" t="str">
        <x:v>Verificar tolerancia y entrega de corriente</x:v>
      </x:c>
    </x:row>
    <x:row r="18" ht="43" customHeight="1">
      <x:c r="A18" s="6" t="str">
        <x:v>Tiempo encendida por día</x:v>
      </x:c>
      <x:c r="B18" s="8"/>
      <x:c r="C18" s="6" t="str">
        <x:v>s/día</x:v>
      </x:c>
      <x:c r="D18" s="6" t="str">
        <x:v>Pendiente</x:v>
      </x:c>
      <x:c r="E18" s="6" t="str">
        <x:v>Modos futuros</x:v>
      </x:c>
      <x:c r="F18" s="6" t="str">
        <x:v>Incluye arranque, captura y lectura</x:v>
      </x:c>
    </x:row>
    <x:row r="19" ht="43" customHeight="1">
      <x:c r="A19" s="6" t="str">
        <x:v>Altura orbital de referencia</x:v>
      </x:c>
      <x:c r="B19" s="8" t="n">
        <x:v>550000</x:v>
      </x:c>
      <x:c r="C19" s="6" t="str">
        <x:v>m</x:v>
      </x:c>
      <x:c r="D19" s="6" t="str">
        <x:v>Requisito heredado</x:v>
      </x:c>
      <x:c r="E19" s="6" t="str">
        <x:v>Lab 3</x:v>
      </x:c>
      <x:c r="F19" s="6" t="str">
        <x:v>Proyección al nadir, plano local</x:v>
      </x:c>
    </x:row>
    <x:row r="20" ht="43" customHeight="1">
      <x:c r="A20" s="6" t="str">
        <x:v>Paso físico de píxel</x:v>
      </x:c>
      <x:c r="B20" s="7" t="n">
        <x:v>5.5</x:v>
      </x:c>
      <x:c r="C20" s="6" t="str">
        <x:v>µm</x:v>
      </x:c>
      <x:c r="D20" s="6" t="str">
        <x:v>Fabricante</x:v>
      </x:c>
      <x:c r="E20" s="6" t="str">
        <x:v>SRC-001</x:v>
      </x:c>
      <x:c r="F20" s="6" t="str">
        <x:v>Distancia entre centros de píxel</x:v>
      </x:c>
    </x:row>
    <x:row r="21" ht="43" customHeight="1">
      <x:c r="A21" s="6" t="str">
        <x:v>Periodo del mosaico</x:v>
      </x:c>
      <x:c r="B21" s="7" t="n">
        <x:v>5</x:v>
      </x:c>
      <x:c r="C21" s="6" t="str">
        <x:v>píxeles</x:v>
      </x:c>
      <x:c r="D21" s="6" t="str">
        <x:v>Fabricante</x:v>
      </x:c>
      <x:c r="E21" s="6" t="str">
        <x:v>SRC-002</x:v>
      </x:c>
      <x:c r="F21" s="6" t="str">
        <x:v>Separación nominal de una misma banda</x:v>
      </x:c>
    </x:row>
    <x:row r="22" ht="43" customHeight="1">
      <x:c r="A22" s="6" t="str">
        <x:v>Focal para explorar</x:v>
      </x:c>
      <x:c r="B22" s="8" t="n">
        <x:v>50</x:v>
      </x:c>
      <x:c r="C22" s="6" t="str">
        <x:v>mm</x:v>
      </x:c>
      <x:c r="D22" s="6" t="str">
        <x:v>Hipótesis óptica</x:v>
      </x:c>
      <x:c r="E22" s="6" t="str">
        <x:v>Exploración</x:v>
      </x:c>
      <x:c r="F22" s="6" t="str">
        <x:v>No representa una lente seleccionada</x:v>
      </x:c>
    </x:row>
    <x:row r="23" ht="43" customHeight="1">
      <x:c r="A23" s="6" t="str">
        <x:v>Paso de banda objetivo</x:v>
      </x:c>
      <x:c r="B23" s="8" t="n">
        <x:v>30</x:v>
      </x:c>
      <x:c r="C23" s="6" t="str">
        <x:v>m</x:v>
      </x:c>
      <x:c r="D23" s="6" t="str">
        <x:v>Hipótesis óptica</x:v>
      </x:c>
      <x:c r="E23" s="6" t="str">
        <x:v>Exploración</x:v>
      </x:c>
      <x:c r="F23" s="6" t="str">
        <x:v>Ejemplo, no requisito aprobado</x:v>
      </x:c>
    </x:row>
    <x:row r="24" ht="43" customHeight="1">
      <x:c r="A24" s="6" t="str">
        <x:v>Retención sin descarga</x:v>
      </x:c>
      <x:c r="B24" s="8" t="n">
        <x:v>90</x:v>
      </x:c>
      <x:c r="C24" s="6" t="str">
        <x:v>días</x:v>
      </x:c>
      <x:c r="D24" s="6" t="str">
        <x:v>Supuesto aprobado</x:v>
      </x:c>
      <x:c r="E24" s="6" t="str">
        <x:v>Acuerdo 2026-10-25</x:v>
      </x:c>
      <x:c r="F24" s="6" t="str">
        <x:v>Contingencia sin descarga; no resultado orbital</x:v>
      </x:c>
    </x:row>
    <x:row r="25" ht="43" customHeight="1">
      <x:c r="A25" s="6" t="str">
        <x:v>Reserva de almacenamiento</x:v>
      </x:c>
      <x:c r="B25" s="8" t="n">
        <x:v>3000</x:v>
      </x:c>
      <x:c r="C25" s="6" t="str">
        <x:v>MB</x:v>
      </x:c>
      <x:c r="D25" s="6" t="str">
        <x:v>Reserva aprobada</x:v>
      </x:c>
      <x:c r="E25" s="6" t="str">
        <x:v>Acuerdo 2026-10-25</x:v>
      </x:c>
      <x:c r="F25" s="6" t="str">
        <x:v>Debe permanecer libre; no volver a sumar</x:v>
      </x:c>
    </x:row>
    <x:row r="26" ht="43" customHeight="1">
      <x:c r="A26" s="6" t="str">
        <x:v>Datos previos almacenados</x:v>
      </x:c>
      <x:c r="B26" s="8" t="n">
        <x:v>1000</x:v>
      </x:c>
      <x:c r="C26" s="6" t="str">
        <x:v>MB</x:v>
      </x:c>
      <x:c r="D26" s="6" t="str">
        <x:v>Límite aprobado</x:v>
      </x:c>
      <x:c r="E26" s="6" t="str">
        <x:v>Acuerdo 2026-10-25</x:v>
      </x:c>
      <x:c r="F26" s="6" t="str">
        <x:v>Máximo al comenzar la contingencia</x:v>
      </x:c>
    </x:row>
    <x:row r="27" ht="26" customHeight="1">
      <x:c r="A27" s="2"/>
      <x:c r="B27" s="2"/>
      <x:c r="C27" s="2"/>
      <x:c r="D27" s="2"/>
      <x:c r="E27" s="2"/>
      <x:c r="F27" s="2"/>
    </x:row>
    <x:row r="28" ht="26" customHeight="1">
      <x:c r="A28" s="2"/>
      <x:c r="B28" s="2"/>
      <x:c r="C28" s="2"/>
      <x:c r="D28" s="2"/>
      <x:c r="E28" s="2"/>
      <x:c r="F28" s="2"/>
    </x:row>
    <x:row r="29" ht="26" customHeight="1">
      <x:c r="A29" s="2" t="str">
        <x:v>Fuentes de los datos de entrada</x:v>
      </x:c>
      <x:c r="B29" s="2"/>
      <x:c r="C29" s="2"/>
      <x:c r="D29" s="2"/>
      <x:c r="E29" s="2"/>
      <x:c r="F29" s="2"/>
    </x:row>
    <x:row r="30" ht="26" customHeight="1">
      <x:c r="A30" s="2"/>
      <x:c r="B30" s="2"/>
      <x:c r="C30" s="2"/>
      <x:c r="D30" s="2"/>
      <x:c r="E30" s="2"/>
      <x:c r="F30" s="2"/>
    </x:row>
    <x:row r="31" ht="26" customHeight="1">
      <x:c r="A31" s="2" t="str">
        <x:v>SRC-001</x:v>
      </x:c>
      <x:c r="B31" s="2" t="str">
        <x:v>Ficha específica 7NIR2, tablas de especificaciones</x:v>
      </x:c>
      <x:c r="C31" s="2"/>
      <x:c r="D31" s="2"/>
      <x:c r="E31" s="2"/>
      <x:c r="F31" s="2"/>
    </x:row>
    <x:row r="32" ht="45" customHeight="1">
      <x:c r="A32" s="6" t="str">
        <x:v>https://www.ximea.com/products/hyperspectral-imaging/xispec-hyperspectral-miniature-cameras/imec-sm-range-600-1000-usb3-hyperspectral-camera</x:v>
      </x:c>
      <x:c r="B32" s="6"/>
      <x:c r="C32" s="6"/>
      <x:c r="D32" s="6"/>
      <x:c r="E32" s="6"/>
      <x:c r="F32" s="6"/>
    </x:row>
    <x:row r="33" ht="26" customHeight="1">
      <x:c r="A33" s="2"/>
      <x:c r="B33" s="2"/>
      <x:c r="C33" s="2"/>
      <x:c r="D33" s="2"/>
      <x:c r="E33" s="2"/>
      <x:c r="F33" s="2"/>
    </x:row>
    <x:row r="34" ht="26" customHeight="1">
      <x:c r="A34" s="2" t="str">
        <x:v>SRC-002</x:v>
      </x:c>
      <x:c r="B34" s="2" t="str">
        <x:v>Manual xiSpec2, portada 2.03; secciones 3.4, 4.1 y 10.1</x:v>
      </x:c>
      <x:c r="C34" s="2"/>
      <x:c r="D34" s="2"/>
      <x:c r="E34" s="2"/>
      <x:c r="F34" s="2"/>
    </x:row>
    <x:row r="35" ht="45" customHeight="1">
      <x:c r="A35" s="6" t="str">
        <x:v>https://www.ximea.com/getattachment/b750b3ca-2b30-42bf-bc83-4c5261ef52c6/xiSpec-Hyperspectral-HSI-mini-cameras_Technical-manual-DWL_manual.pdf</x:v>
      </x:c>
      <x:c r="B35" s="6"/>
      <x:c r="C35" s="6"/>
      <x:c r="D35" s="6"/>
      <x:c r="E35" s="6"/>
      <x:c r="F35" s="6"/>
    </x:row>
    <x:row r="36" ht="26" customHeight="1">
      <x:c r="A36" s="2"/>
      <x:c r="B36" s="2"/>
      <x:c r="C36" s="2"/>
      <x:c r="D36" s="2"/>
      <x:c r="E36" s="2"/>
      <x:c r="F36" s="2"/>
    </x:row>
    <x:row r="37" ht="26" customHeight="1">
      <x:c r="A37" s="2" t="str">
        <x:v>SRC-003</x:v>
      </x:c>
      <x:c r="B37" s="2" t="str">
        <x:v>Software XIMEA Linux; plataformas probadas</x:v>
      </x:c>
      <x:c r="C37" s="2"/>
      <x:c r="D37" s="2"/>
      <x:c r="E37" s="2"/>
      <x:c r="F37" s="2"/>
    </x:row>
    <x:row r="38" ht="45" customHeight="1">
      <x:c r="A38" s="6" t="str">
        <x:v>https://www.ximea.com/support/wiki/apis/XIMEA_Linux_Software_Package</x:v>
      </x:c>
      <x:c r="B38" s="6"/>
      <x:c r="C38" s="6"/>
      <x:c r="D38" s="6"/>
      <x:c r="E38" s="6"/>
      <x:c r="F38" s="6"/>
    </x:row>
    <x:row r="39" ht="26" customHeight="1">
      <x:c r="A39" s="2"/>
      <x:c r="B39" s="2"/>
      <x:c r="C39" s="2"/>
      <x:c r="D39" s="2"/>
      <x:c r="E39" s="2"/>
      <x:c r="F39" s="2"/>
    </x:row>
    <x:row r="40" ht="26" customHeight="1">
      <x:c r="A40" s="2" t="str">
        <x:v>SRC-004</x:v>
      </x:c>
      <x:c r="B40" s="2" t="str">
        <x:v>Geometría de muestreo; referencia conceptual</x:v>
      </x:c>
      <x:c r="C40" s="2"/>
      <x:c r="D40" s="2"/>
      <x:c r="E40" s="2"/>
      <x:c r="F40" s="2"/>
    </x:row>
    <x:row r="41" ht="45" customHeight="1">
      <x:c r="A41" s="6" t="str">
        <x:v>https://www.edmundoptics.com/knowledge-center/application-notes/imaging/imaging-lenses-for-uavs/</x:v>
      </x:c>
      <x:c r="B41" s="6"/>
      <x:c r="C41" s="6"/>
      <x:c r="D41" s="6"/>
      <x:c r="E41" s="6"/>
      <x:c r="F41" s="6"/>
    </x:row>
    <x:row r="42" ht="26" customHeight="1">
      <x:c r="A42" s="2"/>
      <x:c r="B42" s="2"/>
      <x:c r="C42" s="2"/>
      <x:c r="D42" s="2"/>
      <x:c r="E42" s="2"/>
      <x:c r="F42" s="2"/>
    </x:row>
    <x:row r="43" ht="26" customHeight="1">
      <x:c r="A43" s="2"/>
      <x:c r="B43" s="2"/>
      <x:c r="C43" s="2"/>
      <x:c r="D43" s="2"/>
      <x:c r="E43" s="2"/>
      <x:c r="F43" s="2"/>
    </x:row>
    <x:row r="45" ht="30" customHeight="1">
      <x:c r="A45" s="15" t="str">
        <x:v>Parámetro</x:v>
      </x:c>
      <x:c r="B45" s="15" t="str">
        <x:v>Valor</x:v>
      </x:c>
      <x:c r="C45" s="15" t="str">
        <x:v>Unidad</x:v>
      </x:c>
      <x:c r="D45" s="15" t="str">
        <x:v>Tipo</x:v>
      </x:c>
      <x:c r="E45" s="15" t="str">
        <x:v>Fuente</x:v>
      </x:c>
      <x:c r="F45" s="15" t="str">
        <x:v>Justificación / alcance</x:v>
      </x:c>
    </x:row>
    <x:row r="46" ht="50" customHeight="1">
      <x:c r="A46" s="6" t="str">
        <x:v>Cuota de resultados / RAW</x:v>
      </x:c>
      <x:c r="B46" s="18" t="n">
        <x:v>1</x:v>
      </x:c>
      <x:c r="C46" s="6" t="str">
        <x:v>fracción</x:v>
      </x:c>
      <x:c r="D46" s="6" t="str">
        <x:v>Supuesto aprobado</x:v>
      </x:c>
      <x:c r="E46" s="6" t="str">
        <x:v>Acuerdo 2026-10-25</x:v>
      </x:c>
      <x:c r="F46" s="6" t="str">
        <x:v>Espacio para derivados; no copia redundante ni algoritmo</x:v>
      </x:c>
    </x:row>
    <x:row r="47" ht="50" customHeight="1">
      <x:c r="A47" s="6" t="str">
        <x:v>Cuota de auxiliares diarios</x:v>
      </x:c>
      <x:c r="B47" s="18" t="n">
        <x:v>2</x:v>
      </x:c>
      <x:c r="C47" s="6" t="str">
        <x:v>MB/día</x:v>
      </x:c>
      <x:c r="D47" s="6" t="str">
        <x:v>Supuesto aprobado</x:v>
      </x:c>
      <x:c r="E47" s="6" t="str">
        <x:v>Acuerdo 2026-10-25</x:v>
      </x:c>
      <x:c r="F47" s="6" t="str">
        <x:v>Metadatos, telemetría, índices y eventos; no medición</x:v>
      </x:c>
    </x:row>
    <x:row r="48" ht="50" customHeight="1">
      <x:c r="A48" s="6" t="str">
        <x:v>Capacidad nominal microSD</x:v>
      </x:c>
      <x:c r="B48" s="16" t="n">
        <x:v>16</x:v>
      </x:c>
      <x:c r="C48" s="6" t="str">
        <x:v>GB</x:v>
      </x:c>
      <x:c r="D48" s="6" t="str">
        <x:v>Fabricante</x:v>
      </x:c>
      <x:c r="E48" s="6" t="str">
        <x:v>SRC-012</x:v>
      </x:c>
      <x:c r="F48" s="6" t="str">
        <x:v>SDCIT2/16GBSP; no es capacidad útil</x:v>
      </x:c>
    </x:row>
    <x:row r="49" ht="50" customHeight="1">
      <x:c r="A49" s="6" t="str">
        <x:v>Umbral de capacidad útil</x:v>
      </x:c>
      <x:c r="B49" s="18" t="n">
        <x:v>15</x:v>
      </x:c>
      <x:c r="C49" s="6" t="str">
        <x:v>GB</x:v>
      </x:c>
      <x:c r="D49" s="6" t="str">
        <x:v>Criterio de aceptación</x:v>
      </x:c>
      <x:c r="E49" s="6" t="str">
        <x:v>Acuerdo 2026-10-25</x:v>
      </x:c>
      <x:c r="F49" s="6" t="str">
        <x:v>Comprobar tras formato; no capacidad medida</x:v>
      </x:c>
    </x:row>
    <x:row r="50" ht="50" customHeight="1">
      <x:c r="A50" s="6" t="str">
        <x:v>Ancho de bus SD</x:v>
      </x:c>
      <x:c r="B50" s="18" t="n">
        <x:v>4</x:v>
      </x:c>
      <x:c r="C50" s="6" t="str">
        <x:v>bits</x:v>
      </x:c>
      <x:c r="D50" s="6" t="str">
        <x:v>Diseño aprobado</x:v>
      </x:c>
      <x:c r="E50" s="6" t="str">
        <x:v>SRC-009 §5.14</x:v>
      </x:c>
      <x:c r="F50" s="6" t="str">
        <x:v>USDHC2 externo; eMMC interna independiente</x:v>
      </x:c>
    </x:row>
    <x:row r="51" ht="50" customHeight="1">
      <x:c r="A51" s="6" t="str">
        <x:v>Reloj SD objetivo</x:v>
      </x:c>
      <x:c r="B51" s="18" t="n">
        <x:v>25</x:v>
      </x:c>
      <x:c r="C51" s="6" t="str">
        <x:v>MHz</x:v>
      </x:c>
      <x:c r="D51" s="6" t="str">
        <x:v>Diseño aprobado</x:v>
      </x:c>
      <x:c r="E51" s="6" t="str">
        <x:v>SRC-009 tabla 52</x:v>
      </x:c>
      <x:c r="F51" s="6" t="str">
        <x:v>Default Speed; señalización 3,3 V</x:v>
      </x:c>
    </x:row>
    <x:row r="52" ht="50" customHeight="1">
      <x:c r="A52" s="6" t="str">
        <x:v>Tiempo objetivo RAW + resultado</x:v>
      </x:c>
      <x:c r="B52" s="18" t="n">
        <x:v>2</x:v>
      </x:c>
      <x:c r="C52" s="6" t="str">
        <x:v>s</x:v>
      </x:c>
      <x:c r="D52" s="6" t="str">
        <x:v>Criterio de diseño</x:v>
      </x:c>
      <x:c r="E52" s="6" t="str">
        <x:v>Acuerdo 2026-10-25</x:v>
      </x:c>
      <x:c r="F52" s="6" t="str">
        <x:v>Objetivo a comprobar; no latencia garantizada</x:v>
      </x:c>
    </x:row>
    <x:row r="53" ht="50" customHeight="1">
      <x:c r="A53" s="6" t="str">
        <x:v>Alimentación microSD</x:v>
      </x:c>
      <x:c r="B53" s="16" t="n">
        <x:v>3.3</x:v>
      </x:c>
      <x:c r="C53" s="6" t="str">
        <x:v>V</x:v>
      </x:c>
      <x:c r="D53" s="6" t="str">
        <x:v>Fabricante</x:v>
      </x:c>
      <x:c r="E53" s="6" t="str">
        <x:v>SRC-012</x:v>
      </x:c>
      <x:c r="F53" s="6" t="str">
        <x:v>Rama independiente de la reserva del SoM</x:v>
      </x:c>
    </x:row>
    <x:row r="54" ht="50" customHeight="1">
      <x:c r="A54" s="6" t="str">
        <x:v>Corriente máxima microSD</x:v>
      </x:c>
      <x:c r="B54" s="18"/>
      <x:c r="C54" s="6" t="str">
        <x:v>A</x:v>
      </x:c>
      <x:c r="D54" s="6" t="str">
        <x:v>Pendiente</x:v>
      </x:c>
      <x:c r="E54" s="6" t="str">
        <x:v>SRC-012 no informa</x:v>
      </x:c>
      <x:c r="F54" s="6" t="str">
        <x:v>No usar un valor típico o inventado como máximo</x:v>
      </x:c>
    </x:row>
    <x:row r="55" ht="50" customHeight="1">
      <x:c r="A55" s="6" t="str">
        <x:v>Período anual de cálculo</x:v>
      </x:c>
      <x:c r="B55" s="18" t="n">
        <x:v>365</x:v>
      </x:c>
      <x:c r="C55" s="6" t="str">
        <x:v>días</x:v>
      </x:c>
      <x:c r="D55" s="6" t="str">
        <x:v>Convención</x:v>
      </x:c>
      <x:c r="E55" s="6" t="str">
        <x:v>Definición</x:v>
      </x:c>
      <x:c r="F55" s="6" t="str">
        <x:v>Volumen lógico; no amplificación de NAND</x:v>
      </x:c>
    </x:row>
    <x:row r="56" ht="50" customHeight="1">
      <x:c r="A56" s="6" t="str">
        <x:v>Tensión nominal del SoM</x:v>
      </x:c>
      <x:c r="B56" s="18" t="n">
        <x:v>5</x:v>
      </x:c>
      <x:c r="C56" s="6" t="str">
        <x:v>V</x:v>
      </x:c>
      <x:c r="D56" s="6" t="str">
        <x:v>Diseño aprobado</x:v>
      </x:c>
      <x:c r="E56" s="6" t="str">
        <x:v>SEL-002</x:v>
      </x:c>
      <x:c r="F56" s="6" t="str">
        <x:v>Garantizar tolerancia en VCC tras caídas</x:v>
      </x:c>
    </x:row>
    <x:row r="57" ht="50" customHeight="1">
      <x:c r="A57" s="6" t="str">
        <x:v>Tolerancia de tensión SoM</x:v>
      </x:c>
      <x:c r="B57" s="19" t="n">
        <x:v>0.05</x:v>
      </x:c>
      <x:c r="C57" s="6" t="str">
        <x:v>fracción</x:v>
      </x:c>
      <x:c r="D57" s="6" t="str">
        <x:v>Diseño aprobado</x:v>
      </x:c>
      <x:c r="E57" s="6" t="str">
        <x:v>SEL-002</x:v>
      </x:c>
      <x:c r="F57" s="6" t="str">
        <x:v>Compatible con rango recomendado de SRC-009</x:v>
      </x:c>
    </x:row>
    <x:row r="58" ht="50" customHeight="1">
      <x:c r="A58" s="6" t="str">
        <x:v>Envolvente sostenida Verdin</x:v>
      </x:c>
      <x:c r="B58" s="16" t="n">
        <x:v>8.25</x:v>
      </x:c>
      <x:c r="C58" s="6" t="str">
        <x:v>W</x:v>
      </x:c>
      <x:c r="D58" s="6" t="str">
        <x:v>Guía de familia</x:v>
      </x:c>
      <x:c r="E58" s="6" t="str">
        <x:v>SRC-011 §3.1</x:v>
      </x:c>
      <x:c r="F58" s="6" t="str">
        <x:v>Dimensionamiento; no consumo de nuestra aplicación</x:v>
      </x:c>
    </x:row>
    <x:row r="59" ht="50" customHeight="1">
      <x:c r="A59" s="6" t="str">
        <x:v>Envolvente de pico Verdin</x:v>
      </x:c>
      <x:c r="B59" s="16" t="n">
        <x:v>12.5</x:v>
      </x:c>
      <x:c r="C59" s="6" t="str">
        <x:v>W</x:v>
      </x:c>
      <x:c r="D59" s="6" t="str">
        <x:v>Guía de familia</x:v>
      </x:c>
      <x:c r="E59" s="6" t="str">
        <x:v>SRC-011 §3.1</x:v>
      </x:c>
      <x:c r="F59" s="6" t="str">
        <x:v>Dimensionar fuente para esta envolvente</x:v>
      </x:c>
    </x:row>
    <x:row r="60" ht="50" customHeight="1">
      <x:c r="A60" s="6" t="str">
        <x:v>Capacidad de corriente rama SoM</x:v>
      </x:c>
      <x:c r="B60" s="18" t="n">
        <x:v>3</x:v>
      </x:c>
      <x:c r="C60" s="6" t="str">
        <x:v>A</x:v>
      </x:c>
      <x:c r="D60" s="6" t="str">
        <x:v>Diseño aprobado</x:v>
      </x:c>
      <x:c r="E60" s="6" t="str">
        <x:v>SEL-002</x:v>
      </x:c>
      <x:c r="F60" s="6" t="str">
        <x:v>Solo SoM; excluye cámara, radio y memoria externa</x:v>
      </x:c>
    </x:row>
    <x:row r="61" ht="50" customHeight="1">
      <x:c r="A61" s="6" t="str">
        <x:v>Largo proyectado SoM</x:v>
      </x:c>
      <x:c r="B61" s="16" t="n">
        <x:v>69.6</x:v>
      </x:c>
      <x:c r="C61" s="6" t="str">
        <x:v>mm</x:v>
      </x:c>
      <x:c r="D61" s="6" t="str">
        <x:v>Fabricante</x:v>
      </x:c>
      <x:c r="E61" s="6" t="str">
        <x:v>SRC-009 §8.5</x:v>
      </x:c>
      <x:c r="F61" s="6" t="str">
        <x:v>Excluye fijaciones y zócalo</x:v>
      </x:c>
    </x:row>
    <x:row r="62" ht="50" customHeight="1">
      <x:c r="A62" s="6" t="str">
        <x:v>Ancho proyectado SoM</x:v>
      </x:c>
      <x:c r="B62" s="16" t="n">
        <x:v>35</x:v>
      </x:c>
      <x:c r="C62" s="6" t="str">
        <x:v>mm</x:v>
      </x:c>
      <x:c r="D62" s="6" t="str">
        <x:v>Fabricante</x:v>
      </x:c>
      <x:c r="E62" s="6" t="str">
        <x:v>SRC-009 §8.5</x:v>
      </x:c>
      <x:c r="F62" s="6" t="str">
        <x:v>Excluye disipación y zonas libres</x:v>
      </x:c>
    </x:row>
    <x:row r="63" ht="50" customHeight="1">
      <x:c r="A63" s="6" t="str">
        <x:v>Lado de PCB de referencia</x:v>
      </x:c>
      <x:c r="B63" s="18" t="n">
        <x:v>90</x:v>
      </x:c>
      <x:c r="C63" s="6" t="str">
        <x:v>mm</x:v>
      </x:c>
      <x:c r="D63" s="6" t="str">
        <x:v>Requisito heredado</x:v>
      </x:c>
      <x:c r="E63" s="6" t="str">
        <x:v>ET-03</x:v>
      </x:c>
      <x:c r="F63" s="6" t="str">
        <x:v>Área compartida central y comunicaciones</x:v>
      </x:c>
    </x:row>
    <x:row r="64" ht="50" customHeight="1">
      <x:c r="A64" s="6" t="str">
        <x:v>Buffers RAW para estimación</x:v>
      </x:c>
      <x:c r="B64" s="18" t="n">
        <x:v>2</x:v>
      </x:c>
      <x:c r="C64" s="6" t="str">
        <x:v>buffers</x:v>
      </x:c>
      <x:c r="D64" s="6" t="str">
        <x:v>Criterio aprobado</x:v>
      </x:c>
      <x:c r="E64" s="6" t="str">
        <x:v>SEL-002</x:v>
      </x:c>
      <x:c r="F64" s="6" t="str">
        <x:v>No dimensiona RAM total de Linux y aplicación</x:v>
      </x:c>
    </x:row>
    <x:row r="67" ht="30" customHeight="1">
      <x:c r="A67" s="6" t="str">
        <x:v>SRC-009</x:v>
      </x:c>
      <x:c r="B67" s="6" t="str">
        <x:v>Toradex Verdin V1.1 datasheet rev.1.8; tablas 7, 51–53 y 72</x:v>
      </x:c>
      <x:c r="C67" s="6"/>
      <x:c r="D67" s="6"/>
      <x:c r="E67" s="6"/>
      <x:c r="F67" s="6"/>
    </x:row>
    <x:row r="68" ht="42" customHeight="1">
      <x:c r="A68" s="6" t="str">
        <x:v>https://docs.toradex.com/116795-verdin_imx8mp_datasheet.pdf</x:v>
      </x:c>
      <x:c r="B68" s="6"/>
      <x:c r="C68" s="6"/>
      <x:c r="D68" s="6"/>
      <x:c r="E68" s="6"/>
      <x:c r="F68" s="6"/>
    </x:row>
    <x:row r="69" ht="30" customHeight="1">
      <x:c r="A69" s="6"/>
      <x:c r="B69" s="6"/>
      <x:c r="C69" s="6"/>
      <x:c r="D69" s="6"/>
      <x:c r="E69" s="6"/>
      <x:c r="F69" s="6"/>
    </x:row>
    <x:row r="70" ht="30" customHeight="1">
      <x:c r="A70" s="6" t="str">
        <x:v>SRC-010</x:v>
      </x:c>
      <x:c r="B70" s="6" t="str">
        <x:v>Toradex PCN 0063: reemplazo V1.1A por V1.1B</x:v>
      </x:c>
      <x:c r="C70" s="6"/>
      <x:c r="D70" s="6"/>
      <x:c r="E70" s="6"/>
      <x:c r="F70" s="6"/>
    </x:row>
    <x:row r="71" ht="42" customHeight="1">
      <x:c r="A71" s="6" t="str">
        <x:v>https://docs.toradex.com/114344-pcn-0063-v11a-v11b-20231127.pdf</x:v>
      </x:c>
      <x:c r="B71" s="6"/>
      <x:c r="C71" s="6"/>
      <x:c r="D71" s="6"/>
      <x:c r="E71" s="6"/>
      <x:c r="F71" s="6"/>
    </x:row>
    <x:row r="72" ht="30" customHeight="1">
      <x:c r="A72" s="6"/>
      <x:c r="B72" s="6"/>
      <x:c r="C72" s="6"/>
      <x:c r="D72" s="6"/>
      <x:c r="E72" s="6"/>
      <x:c r="F72" s="6"/>
    </x:row>
    <x:row r="73" ht="30" customHeight="1">
      <x:c r="A73" s="6" t="str">
        <x:v>SRC-011</x:v>
      </x:c>
      <x:c r="B73" s="6" t="str">
        <x:v>Verdin Carrier Board Design Guide V1.2; §3.1 alimentación</x:v>
      </x:c>
      <x:c r="C73" s="6"/>
      <x:c r="D73" s="6"/>
      <x:c r="E73" s="6"/>
      <x:c r="F73" s="6"/>
    </x:row>
    <x:row r="74" ht="42" customHeight="1">
      <x:c r="A74" s="6" t="str">
        <x:v>https://docs.toradex.com/108140-verdin-carrier-board-design-guide.pdf</x:v>
      </x:c>
      <x:c r="B74" s="6"/>
      <x:c r="C74" s="6"/>
      <x:c r="D74" s="6"/>
      <x:c r="E74" s="6"/>
      <x:c r="F74" s="6"/>
    </x:row>
    <x:row r="75" ht="30" customHeight="1">
      <x:c r="A75" s="6"/>
      <x:c r="B75" s="6"/>
      <x:c r="C75" s="6"/>
      <x:c r="D75" s="6"/>
      <x:c r="E75" s="6"/>
      <x:c r="F75" s="6"/>
    </x:row>
    <x:row r="76" ht="30" customHeight="1">
      <x:c r="A76" s="6" t="str">
        <x:v>SRC-012</x:v>
      </x:c>
      <x:c r="B76" s="6" t="str">
        <x:v>Kingston SDCIT2, 2 páginas; capacidades, referencias y límites publicados</x:v>
      </x:c>
      <x:c r="C76" s="6"/>
      <x:c r="D76" s="6"/>
      <x:c r="E76" s="6"/>
      <x:c r="F76" s="6"/>
    </x:row>
    <x:row r="77" ht="42" customHeight="1">
      <x:c r="A77" s="6" t="str">
        <x:v>https://www.kingston.com/datasheets/sdcit2_en.pdf</x:v>
      </x:c>
      <x:c r="B77" s="6"/>
      <x:c r="C77" s="6"/>
      <x:c r="D77" s="6"/>
      <x:c r="E77" s="6"/>
      <x:c r="F77" s="6"/>
    </x:row>
    <x:row r="78" ht="30" customHeight="1">
      <x:c r="A78" s="6"/>
      <x:c r="B78" s="6"/>
      <x:c r="C78" s="6"/>
      <x:c r="D78" s="6"/>
      <x:c r="E78" s="6"/>
      <x:c r="F78" s="6"/>
    </x:row>
    <x:row r="79" ht="30" customHeight="1">
      <x:c r="A79" s="6" t="str">
        <x:v>SRC-013</x:v>
      </x:c>
      <x:c r="B79" s="6" t="str">
        <x:v>Toradex SD/MMC Card (Linux); ejemplo Verdin iMX8M Plus</x:v>
      </x:c>
      <x:c r="C79" s="6"/>
      <x:c r="D79" s="6"/>
      <x:c r="E79" s="6"/>
      <x:c r="F79" s="6"/>
    </x:row>
    <x:row r="80" ht="42" customHeight="1">
      <x:c r="A80" s="6" t="str">
        <x:v>https://developer.toradex.com/linux-bsp/application-development/peripheral-access/sdmmc-card-linux/</x:v>
      </x:c>
      <x:c r="B80" s="6"/>
      <x:c r="C80" s="6"/>
      <x:c r="D80" s="6"/>
      <x:c r="E80" s="6"/>
      <x:c r="F80" s="6"/>
    </x:row>
    <x:row r="81" ht="30" customHeight="1">
      <x:c r="A81" s="6"/>
      <x:c r="B81" s="6"/>
      <x:c r="C81" s="6"/>
      <x:c r="D81" s="6"/>
      <x:c r="E81" s="6"/>
      <x:c r="F81" s="6"/>
    </x:row>
    <x:row r="82" ht="30" customHeight="1">
      <x:c r="A82" s="6"/>
      <x:c r="B82" s="6"/>
      <x:c r="C82" s="6"/>
      <x:c r="D82" s="6"/>
      <x:c r="E82" s="6"/>
      <x:c r="F82" s="6"/>
    </x:row>
    <x:row r="84" ht="50" customHeight="1">
      <x:c r="A84" s="6" t="str">
        <x:v>Contrato de actitud: UART</x:v>
      </x:c>
      <x:c r="B84" s="22" t="n">
        <x:v>115200</x:v>
      </x:c>
      <x:c r="C84" s="6" t="str">
        <x:v>bit/s</x:v>
      </x:c>
      <x:c r="D84" s="6" t="str">
        <x:v>Diseño aprobado</x:v>
      </x:c>
      <x:c r="E84" s="6" t="str">
        <x:v>Contrato interfaces</x:v>
      </x:c>
      <x:c r="F84" s="6" t="str">
        <x:v>Controlador ADCS externo; 8N1</x:v>
      </x:c>
    </x:row>
    <x:row r="85" ht="50" customHeight="1">
      <x:c r="A85" s="6" t="str">
        <x:v>Bits de inicio por carácter</x:v>
      </x:c>
      <x:c r="B85" s="22" t="n">
        <x:v>1</x:v>
      </x:c>
      <x:c r="C85" s="6" t="str">
        <x:v>bit</x:v>
      </x:c>
      <x:c r="D85" s="6" t="str">
        <x:v>Formato 8N1</x:v>
      </x:c>
      <x:c r="E85" s="6" t="str">
        <x:v>Contrato interfaces</x:v>
      </x:c>
      <x:c r="F85" s="6" t="str">
        <x:v>Sin paridad</x:v>
      </x:c>
    </x:row>
    <x:row r="86" ht="50" customHeight="1">
      <x:c r="A86" s="6" t="str">
        <x:v>Bits de datos por carácter</x:v>
      </x:c>
      <x:c r="B86" s="22" t="n">
        <x:v>8</x:v>
      </x:c>
      <x:c r="C86" s="6" t="str">
        <x:v>bits</x:v>
      </x:c>
      <x:c r="D86" s="6" t="str">
        <x:v>Formato 8N1</x:v>
      </x:c>
      <x:c r="E86" s="6" t="str">
        <x:v>Contrato interfaces</x:v>
      </x:c>
      <x:c r="F86" s="6" t="str">
        <x:v>Un byte de carga por carácter</x:v>
      </x:c>
    </x:row>
    <x:row r="87" ht="50" customHeight="1">
      <x:c r="A87" s="6" t="str">
        <x:v>Bits de parada por carácter</x:v>
      </x:c>
      <x:c r="B87" s="22" t="n">
        <x:v>1</x:v>
      </x:c>
      <x:c r="C87" s="6" t="str">
        <x:v>bit</x:v>
      </x:c>
      <x:c r="D87" s="6" t="str">
        <x:v>Formato 8N1</x:v>
      </x:c>
      <x:c r="E87" s="6" t="str">
        <x:v>Contrato interfaces</x:v>
      </x:c>
      <x:c r="F87" s="6" t="str">
        <x:v>No incluye cabeceras de trama</x:v>
      </x:c>
    </x:row>
    <x:row r="88" ht="50" customHeight="1">
      <x:c r="A88" s="6" t="str">
        <x:v>Reloj I2C hacia EPS</x:v>
      </x:c>
      <x:c r="B88" s="22" t="n">
        <x:v>100</x:v>
      </x:c>
      <x:c r="C88" s="6" t="str">
        <x:v>kHz</x:v>
      </x:c>
      <x:c r="D88" s="6" t="str">
        <x:v>Diseño aprobado</x:v>
      </x:c>
      <x:c r="E88" s="6" t="str">
        <x:v>Contrato interfaces</x:v>
      </x:c>
      <x:c r="F88" s="6" t="str">
        <x:v>Dirección y presupuesto de capacitancia por cerrar</x:v>
      </x:c>
    </x:row>
    <x:row r="90" ht="60" customHeight="1">
      <x:c r="A90" s="6" t="str">
        <x:v>Resistencia de polarización UART</x:v>
      </x:c>
      <x:c r="B90" s="24" t="n">
        <x:v>10000</x:v>
      </x:c>
      <x:c r="C90" s="6" t="str">
        <x:v>ohm</x:v>
      </x:c>
      <x:c r="D90" s="6" t="str">
        <x:v>Decisión aprobada</x:v>
      </x:c>
      <x:c r="E90" s="6" t="str">
        <x:v>SEL-004</x:v>
      </x:c>
      <x:c r="F90" s="6" t="str">
        <x:v>A1 y B2: 10 kohm a su fuente; OE: 10 kohm a GND; A2Y usa B98.</x:v>
      </x:c>
    </x:row>
    <x:row r="91" ht="60" customHeight="1">
      <x:c r="A91" s="6" t="str">
        <x:v>Tolerancia de resistencias</x:v>
      </x:c>
      <x:c r="B91" s="25" t="n">
        <x:v>0.01</x:v>
      </x:c>
      <x:c r="C91" s="6" t="str">
        <x:v>fracción</x:v>
      </x:c>
      <x:c r="D91" s="6" t="str">
        <x:v>Decisión aprobada</x:v>
      </x:c>
      <x:c r="E91" s="6" t="str">
        <x:v>SEL-004</x:v>
      </x:c>
      <x:c r="F91" s="6" t="str">
        <x:v>Tolerancia inicial; coeficiente térmico en B99.</x:v>
      </x:c>
    </x:row>
    <x:row r="92" ht="60" customHeight="1">
      <x:c r="A92" s="6" t="str">
        <x:v>Envolvente A: tensión máxima</x:v>
      </x:c>
      <x:c r="B92" s="24" t="n">
        <x:v>1.95</x:v>
      </x:c>
      <x:c r="C92" s="6" t="str">
        <x:v>V</x:v>
      </x:c>
      <x:c r="D92" s="6" t="str">
        <x:v>Hipótesis de evaluación</x:v>
      </x:c>
      <x:c r="E92" s="6" t="str">
        <x:v>SEL-004</x:v>
      </x:c>
      <x:c r="F92" s="6" t="str">
        <x:v>Riel real debe quedar contenido en 1,65–1,95 V</x:v>
      </x:c>
    </x:row>
    <x:row r="93" ht="60" customHeight="1">
      <x:c r="A93" s="6" t="str">
        <x:v>Envolvente B: tensión máxima</x:v>
      </x:c>
      <x:c r="B93" s="24" t="n">
        <x:v>3.6</x:v>
      </x:c>
      <x:c r="C93" s="6" t="str">
        <x:v>V</x:v>
      </x:c>
      <x:c r="D93" s="6" t="str">
        <x:v>Hipótesis de evaluación</x:v>
      </x:c>
      <x:c r="E93" s="6" t="str">
        <x:v>SEL-004</x:v>
      </x:c>
      <x:c r="F93" s="6" t="str">
        <x:v>Riel real debe quedar contenido en 3,0–3,6 V</x:v>
      </x:c>
    </x:row>
    <x:row r="94" ht="60" customHeight="1">
      <x:c r="A94" s="6" t="str">
        <x:v>Fuga adicional por extremo</x:v>
      </x:c>
      <x:c r="B94" s="24" t="n">
        <x:v>10</x:v>
      </x:c>
      <x:c r="C94" s="6" t="str">
        <x:v>uA</x:v>
      </x:c>
      <x:c r="D94" s="6" t="str">
        <x:v>Requisito; por verificar</x:v>
      </x:c>
      <x:c r="E94" s="6" t="str">
        <x:v>SEL-004</x:v>
      </x:c>
      <x:c r="F94" s="6" t="str">
        <x:v>No es dato medido del GPIO o módulo externo</x:v>
      </x:c>
    </x:row>
    <x:row r="95" ht="60" customHeight="1">
      <x:c r="A95" s="6" t="str">
        <x:v>Fuga de entrada del traductor</x:v>
      </x:c>
      <x:c r="B95" s="24" t="n">
        <x:v>2</x:v>
      </x:c>
      <x:c r="C95" s="6" t="str">
        <x:v>uA</x:v>
      </x:c>
      <x:c r="D95" s="6" t="str">
        <x:v>Dato del fabricante</x:v>
      </x:c>
      <x:c r="E95" s="6" t="str">
        <x:v>SRC-014; §7.3/7.5</x:v>
      </x:c>
      <x:c r="F95" s="6" t="str">
        <x:v>Incluye polarización interna; rango térmico completo</x:v>
      </x:c>
    </x:row>
    <x:row r="96" ht="60" customHeight="1">
      <x:c r="A96" s="6" t="str">
        <x:v>Desacoplo por alimentación</x:v>
      </x:c>
      <x:c r="B96" s="24" t="n">
        <x:v>100</x:v>
      </x:c>
      <x:c r="C96" s="6" t="str">
        <x:v>nF</x:v>
      </x:c>
      <x:c r="D96" s="6" t="str">
        <x:v>Recomendación fabricante</x:v>
      </x:c>
      <x:c r="E96" s="6" t="str">
        <x:v>SRC-014; §12.1</x:v>
      </x:c>
      <x:c r="F96" s="6" t="str">
        <x:v>C0603C104K3RACTU: 100 nF, 25 V, X7R; dos unidades.</x:v>
      </x:c>
    </x:row>
    <x:row r="97" ht="60" customHeight="1">
      <x:c r="A97" s="6" t="str">
        <x:v>Potencia nominal mínima resistencia</x:v>
      </x:c>
      <x:c r="B97" s="24" t="n">
        <x:v>0.1</x:v>
      </x:c>
      <x:c r="C97" s="6" t="str">
        <x:v>W</x:v>
      </x:c>
      <x:c r="D97" s="6" t="str">
        <x:v>Decisión de diseño</x:v>
      </x:c>
      <x:c r="E97" s="6" t="str">
        <x:v>SEL-004</x:v>
      </x:c>
      <x:c r="F97" s="6" t="str">
        <x:v>Comprobar reducción de potencia con temperatura</x:v>
      </x:c>
    </x:row>
    <x:row r="98" ht="62" customHeight="1">
      <x:c r="A98" s="6" t="str">
        <x:v>Pull-up A2Y / RX Verdin</x:v>
      </x:c>
      <x:c r="B98" s="28" t="n">
        <x:v>47000</x:v>
      </x:c>
      <x:c r="C98" s="6" t="str">
        <x:v>ohm</x:v>
      </x:c>
      <x:c r="D98" s="6" t="str">
        <x:v>Diseño UART07</x:v>
      </x:c>
      <x:c r="E98" s="6" t="str">
        <x:v>RC0603FR-0747KL</x:v>
      </x:c>
      <x:c r="F98" s="6" t="str">
        <x:v>Sustituye solo el pull-up A2Y de 10 kohm</x:v>
      </x:c>
    </x:row>
    <x:row r="99" ht="62" customHeight="1">
      <x:c r="A99" s="6" t="str">
        <x:v>Coeficiente térmico resistencias</x:v>
      </x:c>
      <x:c r="B99" s="28" t="n">
        <x:v>100</x:v>
      </x:c>
      <x:c r="C99" s="6" t="str">
        <x:v>ppm/°C</x:v>
      </x:c>
      <x:c r="D99" s="6" t="str">
        <x:v>Ficha YAGEO RC</x:v>
      </x:c>
      <x:c r="E99" s="6" t="str">
        <x:v>RC0603FR-0710KL / 0747KL</x:v>
      </x:c>
      <x:c r="F99" s="6" t="str">
        <x:v>Cota de magnitud</x:v>
      </x:c>
    </x:row>
    <x:row r="100" ht="62" customHeight="1">
      <x:c r="A100" s="6" t="str">
        <x:v>Desviación térmica respecto 25 °C</x:v>
      </x:c>
      <x:c r="B100" s="28" t="n">
        <x:v>65</x:v>
      </x:c>
      <x:c r="C100" s="6" t="str">
        <x:v>°C</x:v>
      </x:c>
      <x:c r="D100" s="6" t="str">
        <x:v>Envolvente -40 a +85 °C</x:v>
      </x:c>
      <x:c r="E100" s="6" t="str">
        <x:v>Diseño UART07</x:v>
      </x:c>
      <x:c r="F100" s="6" t="str">
        <x:v>No incluye envejecimiento</x:v>
      </x:c>
    </x:row>
    <x:row r="101" ht="62" customHeight="1">
      <x:c r="A101" s="6" t="str">
        <x:v>Envolvente A: tensión mínima</x:v>
      </x:c>
      <x:c r="B101" s="28" t="n">
        <x:v>1.65</x:v>
      </x:c>
      <x:c r="C101" s="6" t="str">
        <x:v>V</x:v>
      </x:c>
      <x:c r="D101" s="6" t="str">
        <x:v>Hipótesis de evaluación</x:v>
      </x:c>
      <x:c r="E101" s="6" t="str">
        <x:v>Diseño UART07</x:v>
      </x:c>
      <x:c r="F101" s="6" t="str">
        <x:v>No es tolerancia garantizada de PWR_1V8_MOCI</x:v>
      </x:c>
    </x:row>
    <x:row r="102" ht="62" customHeight="1">
      <x:c r="A102" s="6" t="str">
        <x:v>Fuga conservadora GPIO NXP</x:v>
      </x:c>
      <x:c r="B102" s="28" t="n">
        <x:v>4</x:v>
      </x:c>
      <x:c r="C102" s="6" t="str">
        <x:v>uA</x:v>
      </x:c>
      <x:c r="D102" s="6" t="str">
        <x:v>NXP IMX8MPIEC rev.2 tabla26</x:v>
      </x:c>
      <x:c r="E102" s="6" t="str">
        <x:v>Fuente en informe</x:v>
      </x:c>
      <x:c r="F102" s="6" t="str">
        <x:v>Deshabilitar pulls internos para el cálculo</x:v>
      </x:c>
    </x:row>
    <x:row r="103" ht="62" customHeight="1">
      <x:c r="A103" s="6" t="str">
        <x:v>Fuga TVS a tensión de trabajo</x:v>
      </x:c>
      <x:c r="B103" s="28" t="n">
        <x:v>0.05</x:v>
      </x:c>
      <x:c r="C103" s="6" t="str">
        <x:v>uA</x:v>
      </x:c>
      <x:c r="D103" s="6" t="str">
        <x:v>TI ESD321 §5.6</x:v>
      </x:c>
      <x:c r="E103" s="6" t="str">
        <x:v>Envolvente térmica de VRWM</x:v>
      </x:c>
      <x:c r="F103" s="6" t="str">
        <x:v>Protección primaria; coordinación pendiente</x:v>
      </x:c>
    </x:row>
    <x:row r="104" ht="62" customHeight="1">
      <x:c r="A104" s="6" t="str">
        <x:v>Coeficiente VIH receptor SoC</x:v>
      </x:c>
      <x:c r="B104" s="28" t="n">
        <x:v>0.7</x:v>
      </x:c>
      <x:c r="C104" s="6" t="str">
        <x:v>V/V</x:v>
      </x:c>
      <x:c r="D104" s="6" t="str">
        <x:v>NXP IMX8MPIEC tabla26</x:v>
      </x:c>
      <x:c r="E104" s="6" t="str">
        <x:v>Fuente en informe</x:v>
      </x:c>
      <x:c r="F104" s="6" t="str">
        <x:v>No aplica a entradas Schmitt del TXU0202</x:v>
      </x:c>
    </x:row>
    <x:row r="105" ht="62" customHeight="1">
      <x:c r="A105" s="6" t="str">
        <x:v>Coeficiente VIL receptor SoC</x:v>
      </x:c>
      <x:c r="B105" s="28" t="n">
        <x:v>0.3</x:v>
      </x:c>
      <x:c r="C105" s="6" t="str">
        <x:v>V/V</x:v>
      </x:c>
      <x:c r="D105" s="6" t="str">
        <x:v>NXP IMX8MPIEC tabla26</x:v>
      </x:c>
      <x:c r="E105" s="6" t="str">
        <x:v>Fuente en informe</x:v>
      </x:c>
      <x:c r="F105" s="6" t="str">
        <x:v>Carga de salida del traductor ≤100 uA</x:v>
      </x:c>
    </x:row>
    <x:row r="106" ht="62" customHeight="1">
      <x:c r="A106" s="6" t="str">
        <x:v>Umbral alto exigido a RX externo</x:v>
      </x:c>
      <x:c r="B106" s="28" t="n">
        <x:v>2.52</x:v>
      </x:c>
      <x:c r="C106" s="6" t="str">
        <x:v>V</x:v>
      </x:c>
      <x:c r="D106" s="6" t="str">
        <x:v>Contrato externo UART07</x:v>
      </x:c>
      <x:c r="E106" s="6" t="str">
        <x:v>Requisito; no dispositivo ensayado</x:v>
      </x:c>
      <x:c r="F106" s="6" t="str">
        <x:v>Nivel alto reconocido desde este valor</x:v>
      </x:c>
    </x:row>
    <x:row r="107" ht="62" customHeight="1">
      <x:c r="A107" s="6" t="str">
        <x:v>Umbral bajo exigido a RX externo</x:v>
      </x:c>
      <x:c r="B107" s="28" t="n">
        <x:v>0.9</x:v>
      </x:c>
      <x:c r="C107" s="6" t="str">
        <x:v>V</x:v>
      </x:c>
      <x:c r="D107" s="6" t="str">
        <x:v>Contrato externo UART07</x:v>
      </x:c>
      <x:c r="E107" s="6" t="str">
        <x:v>Requisito; no dispositivo ensayado</x:v>
      </x:c>
      <x:c r="F107" s="6" t="str">
        <x:v>Nivel bajo reconocido hasta este valor</x:v>
      </x:c>
    </x:row>
  </x:sheetData>
  <x:mergeCells>
    <x:mergeCell ref="B31:F31"/>
    <x:mergeCell ref="A32:F32"/>
    <x:mergeCell ref="B34:F34"/>
    <x:mergeCell ref="A35:F35"/>
    <x:mergeCell ref="B37:F37"/>
    <x:mergeCell ref="A38:F38"/>
    <x:mergeCell ref="B40:F40"/>
    <x:mergeCell ref="A41:F41"/>
    <x:mergeCell ref="B67:F67"/>
    <x:mergeCell ref="A68:F68"/>
    <x:mergeCell ref="B70:F70"/>
    <x:mergeCell ref="A71:F71"/>
    <x:mergeCell ref="B73:F73"/>
    <x:mergeCell ref="A74:F74"/>
    <x:mergeCell ref="B76:F76"/>
    <x:mergeCell ref="A77:F77"/>
    <x:mergeCell ref="B79:F79"/>
    <x:mergeCell ref="A80:F80"/>
  </x:mergeCells>
  <x:dataValidations count="8">
    <x:dataValidation type="list" sqref="B9">
      <x:formula1>"16"</x:formula1>
    </x:dataValidation>
    <x:dataValidation type="decimal" operator="greaterThan" sqref="B6:B8">
      <x:formula1>0</x:formula1>
    </x:dataValidation>
    <x:dataValidation type="decimal" operator="greaterThan" sqref="B10:B12">
      <x:formula1>0</x:formula1>
    </x:dataValidation>
    <x:dataValidation type="decimal" operator="greaterThan" sqref="B19:B23">
      <x:formula1>0</x:formula1>
    </x:dataValidation>
    <x:dataValidation type="decimal" operator="between" sqref="B15">
      <x:formula1>0.000001</x:formula1>
      <x:formula2>1</x:formula2>
    </x:dataValidation>
    <x:dataValidation type="decimal" operator="greaterThanOrEqual" sqref="B13:B14">
      <x:formula1>0</x:formula1>
    </x:dataValidation>
    <x:dataValidation type="decimal" operator="greaterThanOrEqual" sqref="B18">
      <x:formula1>0</x:formula1>
    </x:dataValidation>
    <x:dataValidation type="decimal" operator="greaterThanOrEqual" sqref="B24:B26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32" hidden="0" customWidth="1"/>
    <x:col min="5" max="5" width="42" hidden="0" customWidth="1"/>
    <x:col min="6" max="6" width="34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26" customHeight="1">
      <x:c r="A2" s="3" t="str">
        <x:v>Matriz inicial de restricciones de PCB</x:v>
      </x:c>
      <x:c r="B2" s="2"/>
      <x:c r="C2" s="2"/>
      <x:c r="D2" s="2"/>
      <x:c r="E2" s="2"/>
      <x:c r="F2" s="2"/>
    </x:row>
    <x:row r="3" ht="26" customHeight="1">
      <x:c r="A3" s="2" t="str">
        <x:v>Objetivos y verificaciones pendientes. No se han configurado reglas en Altium.</x:v>
      </x:c>
      <x:c r="B3" s="2"/>
      <x:c r="C3" s="2"/>
      <x:c r="D3" s="2"/>
      <x:c r="E3" s="2"/>
      <x:c r="F3" s="2"/>
    </x:row>
    <x:row r="4" ht="26" customHeight="1">
      <x:c r="A4" s="2"/>
      <x:c r="B4" s="2"/>
      <x:c r="C4" s="2"/>
      <x:c r="D4" s="2"/>
      <x:c r="E4" s="2"/>
      <x:c r="F4" s="2"/>
    </x:row>
    <x:row r="5" ht="30" customHeight="1">
      <x:c r="A5" s="5" t="str">
        <x:v>ID</x:v>
      </x:c>
      <x:c r="B5" s="5" t="str">
        <x:v>Trazabilidad</x:v>
      </x:c>
      <x:c r="C5" s="5" t="str">
        <x:v>Restricción y alcance</x:v>
      </x:c>
      <x:c r="D5" s="5" t="str">
        <x:v>Fuente y fundamento</x:v>
      </x:c>
      <x:c r="E5" s="5" t="str">
        <x:v>Aplicación y verificación</x:v>
      </x:c>
      <x:c r="F5" s="5" t="str">
        <x:v>Estado</x:v>
      </x:c>
    </x:row>
    <x:row r="6" ht="86" customHeight="1">
      <x:c r="A6" s="6" t="str">
        <x:v>PCB-01</x:v>
      </x:c>
      <x:c r="B6" s="6" t="str">
        <x:v>IF-07/08; RNF-03</x:v>
      </x:c>
      <x:c r="C6" s="6" t="str">
        <x:v>Interfaz de cámara compatible con USB3 y función anfitrión.</x:v>
      </x:c>
      <x:c r="D6" s="6" t="str">
        <x:v>SRC-001/003; requisito de interfaz</x:v>
      </x:c>
      <x:c r="E6" s="6" t="str">
        <x:v>Esquemático y compatibilidad de controlador, SDK y sistema.</x:v>
      </x:c>
      <x:c r="F6" s="6" t="str">
        <x:v>Verdin adoptado; SDK por validar</x:v>
      </x:c>
    </x:row>
    <x:row r="7" ht="86" customHeight="1">
      <x:c r="A7" s="6" t="str">
        <x:v>PCB-02</x:v>
      </x:c>
      <x:c r="B7" s="6" t="str">
        <x:v>IF-08; RNF-03</x:v>
      </x:c>
      <x:c r="C7" s="6" t="str">
        <x:v>Definir impedancia, retornos y longitudes de las redes USB elegidas.</x:v>
      </x:c>
      <x:c r="D7" s="6" t="str">
        <x:v>Inferencia; falta documentación del controlador</x:v>
      </x:c>
      <x:c r="E7" s="6" t="str">
        <x:v>Matriz y reglas posteriores según PHY, conector y apilamiento.</x:v>
      </x:c>
      <x:c r="F7" s="6" t="str">
        <x:v>Sin geometrías asignadas</x:v>
      </x:c>
    </x:row>
    <x:row r="8" ht="86" customHeight="1">
      <x:c r="A8" s="6" t="str">
        <x:v>PCB-03</x:v>
      </x:c>
      <x:c r="B8" s="6" t="str">
        <x:v>IF-02; ET-02</x:v>
      </x:c>
      <x:c r="C8" s="6" t="str">
        <x:v>Cámara alimentada por el conjunto externo; definir VBUS y retorno.</x:v>
      </x:c>
      <x:c r="D8" s="6" t="str">
        <x:v>SRC-002 y contrato aprobado de interfaces</x:v>
      </x:c>
      <x:c r="E8" s="6" t="str">
        <x:v>Evitar retroalimentación; no eliminar VBUS ni unir fuentes sin diseño.</x:v>
      </x:c>
      <x:c r="F8" s="6" t="str">
        <x:v>Topología física externa por cerrar</x:v>
      </x:c>
    </x:row>
    <x:row r="9" ht="86" customHeight="1">
      <x:c r="A9" s="6" t="str">
        <x:v>PCB-04</x:v>
      </x:c>
      <x:c r="B9" s="6" t="str">
        <x:v>ET-03; RNF-01</x:v>
      </x:c>
      <x:c r="C9" s="6" t="str">
        <x:v>Verificar acceso del cable de cámara y envolvente de conector.</x:v>
      </x:c>
      <x:c r="D9" s="6" t="str">
        <x:v>Integración; falta elección de conector</x:v>
      </x:c>
      <x:c r="E9" s="6" t="str">
        <x:v>Comprobación mecánica con PCB y carga útil.</x:v>
      </x:c>
      <x:c r="F9" s="6" t="str">
        <x:v>Pendiente</x:v>
      </x:c>
    </x:row>
    <x:row r="10" ht="86" customHeight="1">
      <x:c r="A10" s="6" t="str">
        <x:v>PCB-05</x:v>
      </x:c>
      <x:c r="B10" s="6" t="str">
        <x:v>IF-07; arranque</x:v>
      </x:c>
      <x:c r="C10" s="6" t="str">
        <x:v>Definir captura y alimentación durante reinicio del computador.</x:v>
      </x:c>
      <x:c r="D10" s="6" t="str">
        <x:v>Criterio de diseño acordado</x:v>
      </x:c>
      <x:c r="E10" s="6" t="str">
        <x:v>Notas del esquema y revisión de estados por dispositivo.</x:v>
      </x:c>
      <x:c r="F10" s="6" t="str">
        <x:v>Pendiente de implementación</x:v>
      </x:c>
    </x:row>
    <x:row r="11" ht="86" customHeight="1">
      <x:c r="A11" s="6" t="str">
        <x:v>PCB-06</x:v>
      </x:c>
      <x:c r="B11" s="6" t="str">
        <x:v>ET-04; IF-09</x:v>
      </x:c>
      <x:c r="C11" s="6" t="str">
        <x:v>microSD industrial independiente; mantener eMMC para arranque.</x:v>
      </x:c>
      <x:c r="D11" s="6" t="str">
        <x:v>SEL-003; SRC-012/013</x:v>
      </x:c>
      <x:c r="E11" s="6" t="str">
        <x:v>Capacidad útil ≥15 GB; 90 días según cuotas.</x:v>
      </x:c>
      <x:c r="F11" s="6" t="str">
        <x:v>Capacidad real por verificar</x:v>
      </x:c>
    </x:row>
    <x:row r="12" ht="86" customHeight="1">
      <x:c r="A12" s="6" t="str">
        <x:v>PCB-07</x:v>
      </x:c>
      <x:c r="B12" s="6" t="str">
        <x:v>IF-09; ET-02</x:v>
      </x:c>
      <x:c r="C12" s="6" t="str">
        <x:v>SD de 4 bits, 25 MHz y señalización 3,3 V.</x:v>
      </x:c>
      <x:c r="D12" s="6" t="str">
        <x:v>SRC-009 §5.14</x:v>
      </x:c>
      <x:c r="E12" s="6" t="str">
        <x:v>SD_1_PWR_EN es 1,8 V; revisar EN y pull-ups.</x:v>
      </x:c>
      <x:c r="F12" s="6" t="str">
        <x:v>Zócalo y circuito por elegir</x:v>
      </x:c>
    </x:row>
    <x:row r="13" ht="86" customHeight="1">
      <x:c r="A13" s="6" t="str">
        <x:v>PCB-08</x:v>
      </x:c>
      <x:c r="B13" s="6" t="str">
        <x:v>IF-09; integridad</x:v>
      </x:c>
      <x:c r="C13" s="6" t="str">
        <x:v>No cortar energía con escrituras activas; retener tarjeta.</x:v>
      </x:c>
      <x:c r="D13" s="6" t="str">
        <x:v>Criterio de diseño; SRC-012</x:v>
      </x:c>
      <x:c r="E13" s="6" t="str">
        <x:v>Protección publicada no garantiza último archivo.</x:v>
      </x:c>
      <x:c r="F13" s="6" t="str">
        <x:v>Corriente pico y arranque pendientes</x:v>
      </x:c>
    </x:row>
    <x:row r="14" ht="86" customHeight="1">
      <x:c r="A14" s="6" t="str">
        <x:v>PCB-09</x:v>
      </x:c>
      <x:c r="B14" s="6" t="str">
        <x:v>ET-02; SEL-002</x:v>
      </x:c>
      <x:c r="C14" s="6" t="str">
        <x:v>Rama SoM 5 V ±5 % en VCC, capacidad 3 A.</x:v>
      </x:c>
      <x:c r="D14" s="6" t="str">
        <x:v>SRC-011 §3.1; cálculo</x:v>
      </x:c>
      <x:c r="E14" s="6" t="str">
        <x:v>Verificar caída, rampa y transitorios. Excluye otras cargas.</x:v>
      </x:c>
      <x:c r="F14" s="6" t="str">
        <x:v>Circuito por implementar</x:v>
      </x:c>
    </x:row>
    <x:row r="15" ht="86" customHeight="1">
      <x:c r="A15" s="6" t="str">
        <x:v>PCB-10</x:v>
      </x:c>
      <x:c r="B15" s="6" t="str">
        <x:v>IF-16</x:v>
      </x:c>
      <x:c r="C15" s="6" t="str">
        <x:v>I2C_1 a EPS: 100 kHz; PGOOD y ALERT_N.</x:v>
      </x:c>
      <x:c r="D15" s="6" t="str">
        <x:v>Contrato aprobado; SRC-009</x:v>
      </x:c>
      <x:c r="E15" s="6" t="str">
        <x:v>Dominio externo 3,3 V; adaptación I2C, pull-ups y estados.</x:v>
      </x:c>
      <x:c r="F15" s="6" t="str">
        <x:v>Pines GPIO y componentes pendientes</x:v>
      </x:c>
    </x:row>
    <x:row r="16" ht="86" customHeight="1">
      <x:c r="A16" s="6" t="str">
        <x:v>PCB-11</x:v>
      </x:c>
      <x:c r="B16" s="6" t="str">
        <x:v>IF-14/15</x:v>
      </x:c>
      <x:c r="C16" s="6" t="str">
        <x:v>UART_1 a controlador ADCS externo: 115200 bit/s, 8N1.</x:v>
      </x:c>
      <x:c r="D16" s="6" t="str">
        <x:v>Contrato aprobado; SRC-009</x:v>
      </x:c>
      <x:c r="E16" s="6" t="str">
        <x:v>3,3 V externos, TX a RX, masa común y tramas.</x:v>
      </x:c>
      <x:c r="F16" s="6" t="str">
        <x:v>Carga de datos y temporización pendientes</x:v>
      </x:c>
    </x:row>
    <x:row r="17" ht="86" customHeight="1">
      <x:c r="A17" s="6" t="str">
        <x:v>PCB-12</x:v>
      </x:c>
      <x:c r="B17" s="6" t="str">
        <x:v>IF-10/11</x:v>
      </x:c>
      <x:c r="C17" s="6" t="str">
        <x:v>SPI_1 interno; Verdin maestro; cuatro señales.</x:v>
      </x:c>
      <x:c r="D17" s="6" t="str">
        <x:v>Acuerdo comunicaciones; SRC-009</x:v>
      </x:c>
      <x:c r="E17" s="6" t="str">
        <x:v>MOSI/SCK/CS salen; MISO entra. Validar niveles del receptor.</x:v>
      </x:c>
      <x:c r="F17" s="6" t="str">
        <x:v>Modo y frecuencia pendientes</x:v>
      </x:c>
    </x:row>
    <x:row r="18" ht="86" customHeight="1">
      <x:c r="A18" s="6" t="str">
        <x:v>PCB-13</x:v>
      </x:c>
      <x:c r="B18" s="6" t="str">
        <x:v>IF-C01</x:v>
      </x:c>
      <x:c r="C18" s="6" t="str">
        <x:v>USB_1 recuperación y UART_3 consola.</x:v>
      </x:c>
      <x:c r="D18" s="6" t="str">
        <x:v>SRC-009; contrato aprobado</x:v>
      </x:c>
      <x:c r="E18" s="6" t="str">
        <x:v>Referencias reales de tensión; no confundir referencia con alimentación.</x:v>
      </x:c>
      <x:c r="F18" s="6" t="str">
        <x:v>Conectores y secuencia por definir</x:v>
      </x:c>
    </x:row>
    <x:row r="19" ht="95" customHeight="1">
      <x:c r="A19" s="6" t="str">
        <x:v>PCB-14</x:v>
      </x:c>
      <x:c r="B19" s="6" t="str">
        <x:v>IF-14/15; SEL-004</x:v>
      </x:c>
      <x:c r="C19" s="6" t="str">
        <x:v>TXU0202: desacoplo de 100 nF por fuente, junto a sus pines.</x:v>
      </x:c>
      <x:c r="D19" s="6" t="str">
        <x:v>SRC-014 §12.1; recomendación adoptada</x:v>
      </x:c>
      <x:c r="E19" s="6" t="str">
        <x:v>Retornos cortos; revisar flancos, carga y referencias de alimentación.</x:v>
      </x:c>
      <x:c r="F19" s="6" t="str">
        <x:v>OE: X1.206; VCCA: X1.214; coordinación ESD pendiente</x:v>
      </x:c>
    </x:row>
    <x:row r="20" ht="95" customHeight="1">
      <x:c r="A20" s="6" t="str">
        <x:v>PCB-15</x:v>
      </x:c>
      <x:c r="B20" s="6" t="str">
        <x:v>IF-14/15; SEL-004</x:v>
      </x:c>
      <x:c r="C20" s="6" t="str">
        <x:v>ADCS apagado: tolerar señales hasta 3,6 V y fuga ≤10 uA por pin.</x:v>
      </x:c>
      <x:c r="D20" s="6" t="str">
        <x:v>Contrato externo aprobado; SRC-014 §9.3 para límites del traductor</x:v>
      </x:c>
      <x:c r="E20" s="6" t="str">
        <x:v>Verificar aislamiento remoto; OE local no detecta por sí solo apagado remoto.</x:v>
      </x:c>
      <x:c r="F20" s="6" t="str">
        <x:v>Requisito externo; no validado físicamente</x:v>
      </x:c>
    </x:row>
    <x:row r="21" ht="95" customHeight="1">
      <x:c r="A21" s="6" t="str">
        <x:v>PCB-16</x:v>
      </x:c>
      <x:c r="B21" s="6" t="str">
        <x:v>IF-14/15; SEL-004</x:v>
      </x:c>
      <x:c r="C21" s="6" t="str">
        <x:v>Márgenes de entrada TXU0202 sin cierre en toda la envolvente.</x:v>
      </x:c>
      <x:c r="D21" s="6" t="str">
        <x:v>Informe UART07; TI §7.5; NXP tabla26</x:v>
      </x:c>
      <x:c r="E21" s="6" t="str">
        <x:v>No extrapolar umbrales Schmitt; no certificar inmunidad por rating de TVS.</x:v>
      </x:c>
      <x:c r="F21" s="6" t="str">
        <x:v>Captura inicial; liberación bloqueada por revisión eléctrica</x:v>
      </x:c>
    </x:row>
  </x:sheetData>
  <x:pageMargins left="0.7" right="0.7" top="0.75" bottom="0.75" header="0.3" footer="0.3"/>
</x:worksheet>
</file>